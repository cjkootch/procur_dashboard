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OOS\STAV\TOA\ASSAYFIL\Internet Statoil.com\Files to upload in Internet\XLS\"/>
    </mc:Choice>
  </mc:AlternateContent>
  <xr:revisionPtr revIDLastSave="0" documentId="8_{B2CB1F2B-CEC9-4BFB-9782-9F8FFCF5D1A4}" xr6:coauthVersionLast="45" xr6:coauthVersionMax="45" xr10:uidLastSave="{00000000-0000-0000-0000-000000000000}"/>
  <bookViews>
    <workbookView xWindow="5055" yWindow="2685" windowWidth="21600" windowHeight="11385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<sst xmlns="http://schemas.openxmlformats.org/spreadsheetml/2006/main" count="224" uniqueCount="97">
  <si>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</si>
  <si>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</si>
  <si>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</si>
  <si>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</si>
  <si>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</si>
  <si>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</si>
  <si>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</si>
  <si>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</si>
  <si>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</si>
  <si>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</si>
  <si>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</si>
  <si>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</si>
  <si>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</si>
  <si>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</si>
  <si>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</si>
  <si>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</si>
  <si>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</si>
  <si>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</si>
  <si>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</si>
  <si>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</si>
  <si>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</si>
  <si>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</si>
  <si>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</si>
  <si>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</si>
  <si>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</si>
  <si>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</si>
  <si>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</si>
  <si>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</si>
  <si>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</si>
  <si>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</si>
  <si>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</si>
  <si>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</si>
  <si>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</si>
  <si>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</si>
  <si>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</si>
  <si>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</si>
  <si>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</si>
  <si>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</si>
  <si>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</si>
  <si>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</si>
  <si>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</si>
  <si>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</si>
  <si>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</si>
  <si>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</si>
  <si>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</si>
  <si>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</si>
  <si>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</si>
  <si>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</si>
  <si>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</si>
  <si>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</si>
  <si>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</si>
  <si>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</si>
  <si>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</si>
  <si>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</si>
  <si>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</si>
  <si>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</si>
  <si>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</si>
  <si>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</si>
  <si>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</si>
  <si>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</si>
  <si>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</si>
  <si>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</si>
  <si>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</si>
  <si>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</si>
  <si>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</si>
  <si>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</si>
  <si>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</si>
  <si>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</si>
  <si>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</si>
  <si>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</si>
  <si>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</si>
  <si>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</si>
  <si>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</si>
  <si>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</si>
  <si>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</si>
  <si>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</si>
  <si>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</si>
  <si>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</si>
  <si>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</si>
  <si>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</si>
  <si>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</si>
  <si>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</si>
  <si>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</si>
  <si>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</si>
  <si>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</si>
  <si>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6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</si>
  <si>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paraffins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</si>
  <si>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naphthenes</t>
    </r>
  </si>
  <si>
    <r>
      <t>C</t>
    </r>
    <r>
      <rPr>
        <vertAlign val="subscript"/>
        <sz val="8"/>
        <color rgb="FF000000"/>
        <rFont val="Equi"/>
      </rPr>
      <t>7</t>
    </r>
    <r>
      <rPr>
        <sz val="8"/>
        <color rgb="FF000000"/>
        <rFont val="Equi"/>
      </rPr>
      <t xml:space="preserve"> Asphaltenes (% wt)</t>
    </r>
  </si>
  <si>
    <t>The content of this assay is for guidance only and Equinor accepts no liability for any loss occurring from the use of this assay and errors that it may contain.</t>
  </si>
  <si>
    <t>DALIA 2018 07</t>
  </si>
  <si>
    <t>DALIA201807</t>
  </si>
  <si>
    <t>Dalia</t>
  </si>
  <si>
    <t>Angola</t>
  </si>
  <si>
    <t>28 July 2018</t>
  </si>
  <si>
    <t>05 November 2019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</si>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</sst>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</font>
    <font>
      <sz val="16"/>
      <name val="Equi"/>
    </font>
    <font>
      <sz val="10"/>
      <name val="Equi"/>
    </font>
    <font>
      <sz val="8"/>
      <name val="Equi"/>
    </font>
    <font>
      <vertAlign val="subscript"/>
      <sz val="8"/>
      <color rgb="FF000000"/>
      <name val="Equi"/>
    </font>
    <font>
      <sz val="8"/>
      <color rgb="FF000000"/>
      <name val="Equ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3" fillId="0" borderId="0" xfId="0" applyFont="1" applyBorder="1"/>
    <xf numFmtId="0" fontId="0" fillId="0" borderId="5" xfId="0" applyBorder="1"/>
    <xf numFmtId="0" fontId="0" fillId="0" borderId="0" xfId="0" applyBorder="1" applyAlignment="1">
      <alignment horizontal="right"/>
    </xf>
    <xf numFmtId="0" fontId="4" fillId="0" borderId="0" xfId="0" applyFont="1" applyBorder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 applyBorder="1" applyAlignme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16" xfId="0" applyFont="1" applyBorder="1"/>
    <xf numFmtId="0" fontId="9" fillId="0" borderId="0" xfId="0" applyFont="1" applyBorder="1"/>
    <xf numFmtId="0" fontId="9" fillId="0" borderId="5" xfId="0" applyFont="1" applyBorder="1"/>
    <xf numFmtId="0" fontId="10" fillId="0" borderId="0" xfId="0" applyFont="1" applyBorder="1"/>
    <xf numFmtId="0" fontId="11" fillId="0" borderId="0" xfId="0" applyFont="1" applyBorder="1" applyAlignment="1">
      <alignment horizontal="right"/>
    </xf>
    <xf numFmtId="0" fontId="12" fillId="0" borderId="0" xfId="0" applyFont="1" applyBorder="1"/>
    <xf numFmtId="0" fontId="11" fillId="0" borderId="0" xfId="0" applyFont="1" applyBorder="1"/>
    <xf numFmtId="0" fontId="13" fillId="0" borderId="0" xfId="0" applyFont="1" applyAlignment="1">
      <alignment vertical="center"/>
    </xf>
    <xf numFmtId="0" fontId="14" fillId="0" borderId="6" xfId="0" applyFont="1" applyBorder="1"/>
    <xf numFmtId="0" fontId="15" fillId="0" borderId="6" xfId="0" applyFont="1" applyBorder="1"/>
    <xf numFmtId="0" fontId="15" fillId="0" borderId="0" xfId="0" applyFont="1" applyBorder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7" xfId="0" applyFont="1" applyBorder="1"/>
    <xf numFmtId="0" fontId="16" fillId="0" borderId="0" xfId="0" applyFont="1" applyBorder="1"/>
    <xf numFmtId="0" fontId="16" fillId="0" borderId="17" xfId="0" applyFont="1" applyFill="1" applyBorder="1"/>
    <xf numFmtId="0" fontId="16" fillId="0" borderId="18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6" xfId="0" applyFont="1" applyBorder="1"/>
    <xf numFmtId="0" fontId="15" fillId="0" borderId="9" xfId="0" applyFont="1" applyBorder="1"/>
    <xf numFmtId="2" fontId="16" fillId="0" borderId="18" xfId="0" applyNumberFormat="1" applyFont="1" applyBorder="1"/>
    <xf numFmtId="165" fontId="16" fillId="0" borderId="18" xfId="0" applyNumberFormat="1" applyFont="1" applyBorder="1"/>
    <xf numFmtId="164" fontId="16" fillId="0" borderId="18" xfId="0" applyNumberFormat="1" applyFont="1" applyBorder="1"/>
    <xf numFmtId="1" fontId="16" fillId="0" borderId="18" xfId="0" applyNumberFormat="1" applyFont="1" applyBorder="1"/>
    <xf numFmtId="0" fontId="16" fillId="0" borderId="0" xfId="0" applyFont="1" applyAlignment="1">
      <alignment horizontal="left"/>
    </xf>
    <xf numFmtId="1" fontId="16" fillId="0" borderId="18" xfId="0" applyNumberFormat="1" applyFont="1" applyBorder="1" applyAlignment="1"/>
    <xf numFmtId="164" fontId="16" fillId="0" borderId="18" xfId="0" applyNumberFormat="1" applyFont="1" applyBorder="1" applyAlignment="1"/>
    <xf numFmtId="2" fontId="16" fillId="0" borderId="18" xfId="0" applyNumberFormat="1" applyFont="1" applyBorder="1" applyAlignment="1"/>
    <xf numFmtId="0" fontId="16" fillId="0" borderId="19" xfId="0" applyFont="1" applyBorder="1"/>
    <xf numFmtId="0" fontId="16" fillId="0" borderId="20" xfId="0" applyFont="1" applyBorder="1" applyAlignment="1"/>
    <xf numFmtId="0" fontId="16" fillId="0" borderId="17" xfId="0" applyFont="1" applyBorder="1" applyAlignment="1"/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17" xfId="0" applyFont="1" applyBorder="1" applyAlignment="1">
      <alignment horizontal="center"/>
    </xf>
    <xf numFmtId="0" fontId="16" fillId="0" borderId="17" xfId="0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0" fontId="16" fillId="0" borderId="18" xfId="0" applyFont="1" applyBorder="1" applyAlignment="1">
      <alignment horizontal="right"/>
    </xf>
    <xf numFmtId="0" fontId="16" fillId="0" borderId="14" xfId="0" applyFont="1" applyBorder="1"/>
    <xf numFmtId="164" fontId="16" fillId="0" borderId="20" xfId="0" applyNumberFormat="1" applyFont="1" applyBorder="1" applyAlignment="1">
      <alignment horizontal="center"/>
    </xf>
    <xf numFmtId="164" fontId="16" fillId="0" borderId="0" xfId="0" applyNumberFormat="1" applyFont="1" applyBorder="1" applyAlignment="1"/>
    <xf numFmtId="164" fontId="16" fillId="0" borderId="17" xfId="0" applyNumberFormat="1" applyFont="1" applyBorder="1" applyAlignment="1"/>
    <xf numFmtId="165" fontId="16" fillId="0" borderId="20" xfId="0" applyNumberFormat="1" applyFont="1" applyBorder="1" applyAlignment="1"/>
    <xf numFmtId="165" fontId="16" fillId="0" borderId="0" xfId="0" applyNumberFormat="1" applyFont="1" applyBorder="1" applyAlignment="1"/>
    <xf numFmtId="165" fontId="16" fillId="0" borderId="17" xfId="0" applyNumberFormat="1" applyFont="1" applyBorder="1" applyAlignment="1"/>
    <xf numFmtId="165" fontId="16" fillId="0" borderId="18" xfId="0" applyNumberFormat="1" applyFont="1" applyBorder="1" applyAlignment="1"/>
    <xf numFmtId="164" fontId="16" fillId="0" borderId="20" xfId="0" applyNumberFormat="1" applyFont="1" applyBorder="1" applyAlignment="1"/>
    <xf numFmtId="0" fontId="16" fillId="0" borderId="14" xfId="0" applyFont="1" applyBorder="1" applyAlignment="1"/>
    <xf numFmtId="0" fontId="16" fillId="0" borderId="15" xfId="0" applyFont="1" applyBorder="1" applyAlignment="1"/>
    <xf numFmtId="0" fontId="16" fillId="0" borderId="16" xfId="0" applyFont="1" applyBorder="1" applyAlignment="1"/>
    <xf numFmtId="0" fontId="16" fillId="0" borderId="19" xfId="0" applyFont="1" applyBorder="1" applyAlignment="1"/>
    <xf numFmtId="0" fontId="16" fillId="0" borderId="8" xfId="0" applyFont="1" applyBorder="1" applyAlignment="1"/>
    <xf numFmtId="0" fontId="16" fillId="0" borderId="9" xfId="0" applyFont="1" applyBorder="1" applyAlignment="1"/>
    <xf numFmtId="167" fontId="16" fillId="0" borderId="20" xfId="0" applyNumberFormat="1" applyFont="1" applyBorder="1" applyAlignment="1"/>
    <xf numFmtId="167" fontId="16" fillId="0" borderId="0" xfId="0" applyNumberFormat="1" applyFont="1" applyBorder="1" applyAlignment="1"/>
    <xf numFmtId="167" fontId="16" fillId="0" borderId="17" xfId="0" applyNumberFormat="1" applyFont="1" applyBorder="1" applyAlignment="1"/>
    <xf numFmtId="167" fontId="16" fillId="0" borderId="18" xfId="0" applyNumberFormat="1" applyFont="1" applyBorder="1" applyAlignment="1"/>
    <xf numFmtId="1" fontId="16" fillId="0" borderId="20" xfId="0" applyNumberFormat="1" applyFont="1" applyBorder="1" applyAlignment="1"/>
    <xf numFmtId="1" fontId="16" fillId="0" borderId="0" xfId="0" applyNumberFormat="1" applyFont="1" applyBorder="1" applyAlignment="1"/>
    <xf numFmtId="1" fontId="16" fillId="0" borderId="17" xfId="0" applyNumberFormat="1" applyFont="1" applyBorder="1" applyAlignment="1"/>
    <xf numFmtId="0" fontId="16" fillId="0" borderId="0" xfId="0" applyFont="1" applyBorder="1" applyAlignment="1"/>
    <xf numFmtId="0" fontId="16" fillId="0" borderId="18" xfId="0" applyFont="1" applyBorder="1" applyAlignment="1"/>
    <xf numFmtId="2" fontId="16" fillId="0" borderId="20" xfId="0" applyNumberFormat="1" applyFont="1" applyBorder="1" applyAlignment="1"/>
    <xf numFmtId="2" fontId="16" fillId="0" borderId="0" xfId="0" applyNumberFormat="1" applyFont="1" applyBorder="1" applyAlignment="1"/>
    <xf numFmtId="2" fontId="16" fillId="0" borderId="17" xfId="0" applyNumberFormat="1" applyFont="1" applyBorder="1" applyAlignment="1"/>
    <xf numFmtId="166" fontId="16" fillId="0" borderId="20" xfId="0" applyNumberFormat="1" applyFont="1" applyBorder="1" applyAlignment="1"/>
    <xf numFmtId="166" fontId="16" fillId="0" borderId="0" xfId="0" applyNumberFormat="1" applyFont="1" applyBorder="1" applyAlignment="1"/>
    <xf numFmtId="166" fontId="16" fillId="0" borderId="18" xfId="0" applyNumberFormat="1" applyFont="1" applyBorder="1" applyAlignment="1"/>
    <xf numFmtId="166" fontId="16" fillId="0" borderId="17" xfId="0" applyNumberFormat="1" applyFont="1" applyBorder="1" applyAlignme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 applyBorder="1" applyAlignment="1"/>
    <xf numFmtId="0" fontId="9" fillId="0" borderId="0" xfId="0" applyFont="1" applyBorder="1" applyAlignment="1">
      <alignment wrapText="1"/>
    </xf>
    <xf numFmtId="0" fontId="16" fillId="0" borderId="0" xfId="0" applyFont="1" applyBorder="1" applyAlignment="1"/>
    <xf numFmtId="0" fontId="16" fillId="0" borderId="0" xfId="0" applyFont="1" applyAlignment="1"/>
    <xf numFmtId="0" fontId="16" fillId="0" borderId="18" xfId="0" applyFont="1" applyBorder="1" applyAlignment="1"/>
    <xf numFmtId="0" fontId="16" fillId="0" borderId="0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0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0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18" xfId="0" applyFont="1" applyBorder="1" applyAlignment="1">
      <alignment horizontal="left" vertical="top" wrapText="1"/>
    </xf>
    <xf numFmtId="0" fontId="16" fillId="0" borderId="15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2.0432355398436599E-2</c:v>
                </c:pt>
                <c:pt idx="1">
                  <c:v>2.0432355398436599E-2</c:v>
                </c:pt>
                <c:pt idx="2">
                  <c:v>5.0489869765025397E-2</c:v>
                </c:pt>
                <c:pt idx="3">
                  <c:v>5.0489869765025397E-2</c:v>
                </c:pt>
                <c:pt idx="4">
                  <c:v>5.0489869765025397E-2</c:v>
                </c:pt>
                <c:pt idx="5">
                  <c:v>5.0489869765025397E-2</c:v>
                </c:pt>
                <c:pt idx="6">
                  <c:v>5.0489869765025397E-2</c:v>
                </c:pt>
                <c:pt idx="7">
                  <c:v>5.0489869765025397E-2</c:v>
                </c:pt>
                <c:pt idx="8">
                  <c:v>8.0524484147065506E-2</c:v>
                </c:pt>
                <c:pt idx="9">
                  <c:v>8.0524484147065506E-2</c:v>
                </c:pt>
                <c:pt idx="10">
                  <c:v>0.180551459151368</c:v>
                </c:pt>
                <c:pt idx="11">
                  <c:v>0.180551459151368</c:v>
                </c:pt>
                <c:pt idx="12">
                  <c:v>0.182738136059724</c:v>
                </c:pt>
                <c:pt idx="13">
                  <c:v>0.182738136059724</c:v>
                </c:pt>
                <c:pt idx="14">
                  <c:v>0.182738136059724</c:v>
                </c:pt>
                <c:pt idx="15">
                  <c:v>0.182738136059724</c:v>
                </c:pt>
                <c:pt idx="16">
                  <c:v>0.25319666620981701</c:v>
                </c:pt>
                <c:pt idx="17">
                  <c:v>0.25319666620981701</c:v>
                </c:pt>
                <c:pt idx="18">
                  <c:v>0.36361546062511302</c:v>
                </c:pt>
                <c:pt idx="19">
                  <c:v>0.36361546062511302</c:v>
                </c:pt>
                <c:pt idx="20">
                  <c:v>0.39805593374278903</c:v>
                </c:pt>
                <c:pt idx="21">
                  <c:v>0.39805593374278903</c:v>
                </c:pt>
                <c:pt idx="22">
                  <c:v>0.44438581942711203</c:v>
                </c:pt>
                <c:pt idx="23">
                  <c:v>0.53796232016475798</c:v>
                </c:pt>
                <c:pt idx="24">
                  <c:v>0.61448938407739995</c:v>
                </c:pt>
                <c:pt idx="25">
                  <c:v>0.80137711289458102</c:v>
                </c:pt>
                <c:pt idx="26">
                  <c:v>0.80730180856334599</c:v>
                </c:pt>
                <c:pt idx="27">
                  <c:v>0.95428492716751201</c:v>
                </c:pt>
                <c:pt idx="28">
                  <c:v>1.0309010627417401</c:v>
                </c:pt>
                <c:pt idx="29">
                  <c:v>1.42317032638914</c:v>
                </c:pt>
                <c:pt idx="30">
                  <c:v>1.44700459904672</c:v>
                </c:pt>
                <c:pt idx="31">
                  <c:v>1.84934998054553</c:v>
                </c:pt>
                <c:pt idx="32">
                  <c:v>1.89774111014578</c:v>
                </c:pt>
                <c:pt idx="33">
                  <c:v>2.0355605351773201</c:v>
                </c:pt>
                <c:pt idx="34">
                  <c:v>2.3097955249719502</c:v>
                </c:pt>
                <c:pt idx="35">
                  <c:v>2.5295035715640499</c:v>
                </c:pt>
                <c:pt idx="36">
                  <c:v>2.6293859492889999</c:v>
                </c:pt>
                <c:pt idx="37">
                  <c:v>3.0891713310876101</c:v>
                </c:pt>
                <c:pt idx="38">
                  <c:v>3.7073037281229602</c:v>
                </c:pt>
                <c:pt idx="39">
                  <c:v>4.2383000173253498</c:v>
                </c:pt>
                <c:pt idx="40">
                  <c:v>4.6241523044395896</c:v>
                </c:pt>
                <c:pt idx="41">
                  <c:v>5.4313378943793902</c:v>
                </c:pt>
                <c:pt idx="42">
                  <c:v>6.2872616097325897</c:v>
                </c:pt>
                <c:pt idx="43">
                  <c:v>7.1953692473384896</c:v>
                </c:pt>
                <c:pt idx="44">
                  <c:v>8.1626375840797003</c:v>
                </c:pt>
                <c:pt idx="45">
                  <c:v>9.2015568279252609</c:v>
                </c:pt>
                <c:pt idx="46">
                  <c:v>10.3313877620791</c:v>
                </c:pt>
                <c:pt idx="47">
                  <c:v>11.577042559543001</c:v>
                </c:pt>
                <c:pt idx="48">
                  <c:v>12.965287713578199</c:v>
                </c:pt>
                <c:pt idx="49">
                  <c:v>14.5173115816517</c:v>
                </c:pt>
                <c:pt idx="50">
                  <c:v>16.2400390790392</c:v>
                </c:pt>
                <c:pt idx="51">
                  <c:v>18.120150400265601</c:v>
                </c:pt>
                <c:pt idx="52">
                  <c:v>20.124228114605302</c:v>
                </c:pt>
                <c:pt idx="53">
                  <c:v>22.2057821184994</c:v>
                </c:pt>
                <c:pt idx="54">
                  <c:v>24.316518254935598</c:v>
                </c:pt>
                <c:pt idx="55">
                  <c:v>26.417313527511698</c:v>
                </c:pt>
                <c:pt idx="56">
                  <c:v>28.484939830740601</c:v>
                </c:pt>
                <c:pt idx="57">
                  <c:v>30.512880049139401</c:v>
                </c:pt>
                <c:pt idx="58">
                  <c:v>32.508028276179601</c:v>
                </c:pt>
                <c:pt idx="59">
                  <c:v>34.485150433359301</c:v>
                </c:pt>
                <c:pt idx="60">
                  <c:v>36.461252523973997</c:v>
                </c:pt>
                <c:pt idx="61">
                  <c:v>38.451266205260602</c:v>
                </c:pt>
                <c:pt idx="62">
                  <c:v>40.4654960107178</c:v>
                </c:pt>
                <c:pt idx="63">
                  <c:v>42.508661293170299</c:v>
                </c:pt>
                <c:pt idx="64">
                  <c:v>44.580100459744401</c:v>
                </c:pt>
                <c:pt idx="65">
                  <c:v>46.6746722724939</c:v>
                </c:pt>
                <c:pt idx="66">
                  <c:v>48.783909376740503</c:v>
                </c:pt>
                <c:pt idx="67">
                  <c:v>50.8971258358361</c:v>
                </c:pt>
                <c:pt idx="68">
                  <c:v>53.002832980128602</c:v>
                </c:pt>
                <c:pt idx="69">
                  <c:v>55.089708648248603</c:v>
                </c:pt>
                <c:pt idx="70">
                  <c:v>57.147245879702801</c:v>
                </c:pt>
                <c:pt idx="71">
                  <c:v>59.166165675675103</c:v>
                </c:pt>
                <c:pt idx="72">
                  <c:v>61.138629972632202</c:v>
                </c:pt>
                <c:pt idx="73">
                  <c:v>63.058299812854401</c:v>
                </c:pt>
                <c:pt idx="74">
                  <c:v>64.920283997065496</c:v>
                </c:pt>
                <c:pt idx="75">
                  <c:v>66.721018591683602</c:v>
                </c:pt>
                <c:pt idx="76">
                  <c:v>68.457971704673</c:v>
                </c:pt>
                <c:pt idx="77">
                  <c:v>70.129110780833301</c:v>
                </c:pt>
                <c:pt idx="78">
                  <c:v>71.733376530504202</c:v>
                </c:pt>
                <c:pt idx="79">
                  <c:v>73.270658235983007</c:v>
                </c:pt>
                <c:pt idx="80">
                  <c:v>74.741622514228993</c:v>
                </c:pt>
                <c:pt idx="81">
                  <c:v>76.147560715987396</c:v>
                </c:pt>
                <c:pt idx="82">
                  <c:v>77.490255155927102</c:v>
                </c:pt>
                <c:pt idx="83">
                  <c:v>78.771863087452502</c:v>
                </c:pt>
                <c:pt idx="84">
                  <c:v>79.994816836079707</c:v>
                </c:pt>
                <c:pt idx="85">
                  <c:v>81.161738436437403</c:v>
                </c:pt>
                <c:pt idx="86">
                  <c:v>82.275206750948399</c:v>
                </c:pt>
                <c:pt idx="87">
                  <c:v>83.337143301196704</c:v>
                </c:pt>
                <c:pt idx="88">
                  <c:v>84.349305580011702</c:v>
                </c:pt>
                <c:pt idx="89">
                  <c:v>85.313426603224897</c:v>
                </c:pt>
                <c:pt idx="90">
                  <c:v>86.231201861757398</c:v>
                </c:pt>
                <c:pt idx="91">
                  <c:v>87.104280659460201</c:v>
                </c:pt>
                <c:pt idx="92">
                  <c:v>87.934261156837493</c:v>
                </c:pt>
                <c:pt idx="93">
                  <c:v>88.722688455552799</c:v>
                </c:pt>
                <c:pt idx="94">
                  <c:v>89.471055082074898</c:v>
                </c:pt>
                <c:pt idx="95">
                  <c:v>90.180803265710196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6.1992783073976099E-2</c:v>
                </c:pt>
                <c:pt idx="1">
                  <c:v>6.1992783073976099E-2</c:v>
                </c:pt>
                <c:pt idx="2">
                  <c:v>0.116060132189412</c:v>
                </c:pt>
                <c:pt idx="3">
                  <c:v>0.116060132189412</c:v>
                </c:pt>
                <c:pt idx="4">
                  <c:v>0.116060132189412</c:v>
                </c:pt>
                <c:pt idx="5">
                  <c:v>0.116060132189412</c:v>
                </c:pt>
                <c:pt idx="6">
                  <c:v>0.116060132189412</c:v>
                </c:pt>
                <c:pt idx="7">
                  <c:v>0.116060132189412</c:v>
                </c:pt>
                <c:pt idx="8">
                  <c:v>0.16474409658424899</c:v>
                </c:pt>
                <c:pt idx="9">
                  <c:v>0.16474409658424899</c:v>
                </c:pt>
                <c:pt idx="10">
                  <c:v>0.32094648433219503</c:v>
                </c:pt>
                <c:pt idx="11">
                  <c:v>0.32094648433219503</c:v>
                </c:pt>
                <c:pt idx="12">
                  <c:v>0.32429253264937802</c:v>
                </c:pt>
                <c:pt idx="13">
                  <c:v>0.32429253264937802</c:v>
                </c:pt>
                <c:pt idx="14">
                  <c:v>0.32429253264937802</c:v>
                </c:pt>
                <c:pt idx="15">
                  <c:v>0.32429253264937802</c:v>
                </c:pt>
                <c:pt idx="16">
                  <c:v>0.427287111753063</c:v>
                </c:pt>
                <c:pt idx="17">
                  <c:v>0.427287111753063</c:v>
                </c:pt>
                <c:pt idx="18">
                  <c:v>0.58709814240242097</c:v>
                </c:pt>
                <c:pt idx="19">
                  <c:v>0.58709814240242097</c:v>
                </c:pt>
                <c:pt idx="20">
                  <c:v>0.63164503927204396</c:v>
                </c:pt>
                <c:pt idx="21">
                  <c:v>0.63164503927204396</c:v>
                </c:pt>
                <c:pt idx="22">
                  <c:v>0.69514115948181499</c:v>
                </c:pt>
                <c:pt idx="23">
                  <c:v>0.824172100870742</c:v>
                </c:pt>
                <c:pt idx="24">
                  <c:v>0.92943330777675903</c:v>
                </c:pt>
                <c:pt idx="25">
                  <c:v>1.1559344134812499</c:v>
                </c:pt>
                <c:pt idx="26">
                  <c:v>1.16391266922857</c:v>
                </c:pt>
                <c:pt idx="27">
                  <c:v>1.3374002116755499</c:v>
                </c:pt>
                <c:pt idx="28">
                  <c:v>1.4328153199978599</c:v>
                </c:pt>
                <c:pt idx="29">
                  <c:v>1.92001760245301</c:v>
                </c:pt>
                <c:pt idx="30">
                  <c:v>1.9512313153179299</c:v>
                </c:pt>
                <c:pt idx="31">
                  <c:v>2.4267415472754101</c:v>
                </c:pt>
                <c:pt idx="32">
                  <c:v>2.4874651378256298</c:v>
                </c:pt>
                <c:pt idx="33">
                  <c:v>2.6487783371346301</c:v>
                </c:pt>
                <c:pt idx="34">
                  <c:v>2.98624977957</c:v>
                </c:pt>
                <c:pt idx="35">
                  <c:v>3.24417513125006</c:v>
                </c:pt>
                <c:pt idx="36">
                  <c:v>3.3652508222333499</c:v>
                </c:pt>
                <c:pt idx="37">
                  <c:v>3.9085769647162301</c:v>
                </c:pt>
                <c:pt idx="38">
                  <c:v>4.6385168974590298</c:v>
                </c:pt>
                <c:pt idx="39">
                  <c:v>5.2668162486612502</c:v>
                </c:pt>
                <c:pt idx="40">
                  <c:v>5.7161457394244204</c:v>
                </c:pt>
                <c:pt idx="41">
                  <c:v>6.6475093463098602</c:v>
                </c:pt>
                <c:pt idx="42">
                  <c:v>7.62373357149903</c:v>
                </c:pt>
                <c:pt idx="43">
                  <c:v>8.6482773317111494</c:v>
                </c:pt>
                <c:pt idx="44">
                  <c:v>9.7284864249242595</c:v>
                </c:pt>
                <c:pt idx="45">
                  <c:v>10.8776445912852</c:v>
                </c:pt>
                <c:pt idx="46">
                  <c:v>12.116279920022899</c:v>
                </c:pt>
                <c:pt idx="47">
                  <c:v>13.471172069618801</c:v>
                </c:pt>
                <c:pt idx="48">
                  <c:v>14.970741314904</c:v>
                </c:pt>
                <c:pt idx="49">
                  <c:v>16.6369755494473</c:v>
                </c:pt>
                <c:pt idx="50">
                  <c:v>18.476329075505799</c:v>
                </c:pt>
                <c:pt idx="51">
                  <c:v>20.473652425904898</c:v>
                </c:pt>
                <c:pt idx="52">
                  <c:v>22.592667764459001</c:v>
                </c:pt>
                <c:pt idx="53">
                  <c:v>24.783632454283499</c:v>
                </c:pt>
                <c:pt idx="54">
                  <c:v>26.995298143571901</c:v>
                </c:pt>
                <c:pt idx="55">
                  <c:v>29.186358095609901</c:v>
                </c:pt>
                <c:pt idx="56">
                  <c:v>31.332355041480199</c:v>
                </c:pt>
                <c:pt idx="57">
                  <c:v>33.426641966745201</c:v>
                </c:pt>
                <c:pt idx="58">
                  <c:v>35.476609018734401</c:v>
                </c:pt>
                <c:pt idx="59">
                  <c:v>37.497680283048098</c:v>
                </c:pt>
                <c:pt idx="60">
                  <c:v>39.507413062579403</c:v>
                </c:pt>
                <c:pt idx="61">
                  <c:v>41.521083602205799</c:v>
                </c:pt>
                <c:pt idx="62">
                  <c:v>43.549163528825602</c:v>
                </c:pt>
                <c:pt idx="63">
                  <c:v>45.596459912504699</c:v>
                </c:pt>
                <c:pt idx="64">
                  <c:v>47.662433884571101</c:v>
                </c:pt>
                <c:pt idx="65">
                  <c:v>49.742198147583302</c:v>
                </c:pt>
                <c:pt idx="66">
                  <c:v>51.827790497071803</c:v>
                </c:pt>
                <c:pt idx="67">
                  <c:v>53.909445895073503</c:v>
                </c:pt>
                <c:pt idx="68">
                  <c:v>55.9767038419483</c:v>
                </c:pt>
                <c:pt idx="69">
                  <c:v>58.019276032359201</c:v>
                </c:pt>
                <c:pt idx="70">
                  <c:v>60.027659582349997</c:v>
                </c:pt>
                <c:pt idx="71">
                  <c:v>61.993517490227099</c:v>
                </c:pt>
                <c:pt idx="72">
                  <c:v>63.909866459847201</c:v>
                </c:pt>
                <c:pt idx="73">
                  <c:v>65.771118494380502</c:v>
                </c:pt>
                <c:pt idx="74">
                  <c:v>67.573021252568196</c:v>
                </c:pt>
                <c:pt idx="75">
                  <c:v>69.312536277657898</c:v>
                </c:pt>
                <c:pt idx="76">
                  <c:v>70.987686160235398</c:v>
                </c:pt>
                <c:pt idx="77">
                  <c:v>72.597393147137296</c:v>
                </c:pt>
                <c:pt idx="78">
                  <c:v>74.141323838497598</c:v>
                </c:pt>
                <c:pt idx="79">
                  <c:v>75.619748152929404</c:v>
                </c:pt>
                <c:pt idx="80">
                  <c:v>77.033415993445402</c:v>
                </c:pt>
                <c:pt idx="81">
                  <c:v>78.383451969023199</c:v>
                </c:pt>
                <c:pt idx="82">
                  <c:v>79.671266838069997</c:v>
                </c:pt>
                <c:pt idx="83">
                  <c:v>80.898483653496001</c:v>
                </c:pt>
                <c:pt idx="84">
                  <c:v>82.066876520394104</c:v>
                </c:pt>
                <c:pt idx="85">
                  <c:v>83.178320113722293</c:v>
                </c:pt>
                <c:pt idx="86">
                  <c:v>84.234748430660403</c:v>
                </c:pt>
                <c:pt idx="87">
                  <c:v>85.238121549940303</c:v>
                </c:pt>
                <c:pt idx="88">
                  <c:v>86.1903993897334</c:v>
                </c:pt>
                <c:pt idx="89">
                  <c:v>87.093521593251097</c:v>
                </c:pt>
                <c:pt idx="90">
                  <c:v>87.949392746155993</c:v>
                </c:pt>
                <c:pt idx="91">
                  <c:v>88.759872167591297</c:v>
                </c:pt>
                <c:pt idx="92">
                  <c:v>89.526767539798101</c:v>
                </c:pt>
                <c:pt idx="93">
                  <c:v>90.251831666006595</c:v>
                </c:pt>
                <c:pt idx="94">
                  <c:v>90.936761681696595</c:v>
                </c:pt>
                <c:pt idx="95">
                  <c:v>91.583200093784896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31" zoomScaleNormal="100" zoomScaleSheetLayoutView="100" workbookViewId="0"/>
  </sheetViews>
  <sheetFormatPr defaultRowHeight="12.75"/>
  <cols>
    <col min="1" max="1" width="2.7109375" customWidth="1"/>
    <col min="2" max="2" width="19.28515625" customWidth="1"/>
    <col min="3" max="3" width="4.42578125" customWidth="1"/>
    <col min="4" max="4" width="4.5703125" customWidth="1"/>
    <col min="5" max="5" width="4.28515625" customWidth="1"/>
    <col min="6" max="6" width="4.4257812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4" width="4.28515625" customWidth="1"/>
    <col min="15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6"/>
      <c r="F2" s="6"/>
      <c r="R2" s="7"/>
    </row>
    <row r="3" spans="1:27">
      <c r="A3" s="4"/>
      <c r="R3" s="7"/>
    </row>
    <row r="4" spans="1:27" ht="7.5" customHeight="1">
      <c r="A4" s="4"/>
      <c r="D4" s="33"/>
      <c r="E4" s="33"/>
      <c r="F4" s="33"/>
      <c r="G4" s="33"/>
      <c r="H4" s="33"/>
      <c r="I4" s="33"/>
      <c r="R4" s="7"/>
    </row>
    <row r="5" spans="1:27" ht="15.75">
      <c r="A5" s="4"/>
      <c r="E5" s="34" t="s">
        <v>1</v>
      </c>
      <c r="F5" s="35" t="s">
        <v>90</v>
      </c>
      <c r="H5" s="36"/>
      <c r="I5" s="33"/>
      <c r="R5" s="7"/>
    </row>
    <row r="6" spans="1:27" ht="15.75">
      <c r="A6" s="4"/>
      <c r="E6" s="34" t="s">
        <v>0</v>
      </c>
      <c r="F6" s="35" t="s">
        <v>91</v>
      </c>
      <c r="H6" s="36"/>
      <c r="I6" s="33"/>
      <c r="R6" s="7"/>
    </row>
    <row r="7" spans="1:27" ht="5.25" customHeight="1">
      <c r="A7" s="4"/>
      <c r="R7" s="7"/>
    </row>
    <row r="8" spans="1:27" ht="5.25" customHeight="1">
      <c r="A8" s="4"/>
      <c r="R8" s="7"/>
    </row>
    <row r="9" spans="1:27" ht="20.25">
      <c r="A9" s="4"/>
      <c r="B9" s="38" t="s">
        <v>74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7"/>
      <c r="V9" s="31"/>
      <c r="W9" s="102"/>
      <c r="X9" s="102"/>
      <c r="Y9" s="102"/>
      <c r="Z9" s="102"/>
      <c r="AA9" s="102"/>
    </row>
    <row r="10" spans="1:27" ht="11.25" customHeight="1">
      <c r="A10" s="4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7"/>
      <c r="V10" s="31"/>
      <c r="W10" s="103"/>
      <c r="X10" s="103"/>
      <c r="Y10" s="103"/>
      <c r="Z10" s="103"/>
      <c r="AA10" s="103"/>
    </row>
    <row r="11" spans="1:27" ht="5.0999999999999996" customHeight="1">
      <c r="A11" s="4"/>
      <c r="B11" s="41" t="s">
        <v>2</v>
      </c>
      <c r="C11" s="42" t="s">
        <v>3</v>
      </c>
      <c r="D11" s="42" t="s">
        <v>4</v>
      </c>
      <c r="E11" s="42" t="s">
        <v>5</v>
      </c>
      <c r="F11" s="42"/>
      <c r="G11" s="42"/>
      <c r="H11" s="41"/>
      <c r="I11" s="42"/>
      <c r="J11" s="42"/>
      <c r="K11" s="42"/>
      <c r="L11" s="43"/>
      <c r="M11" s="41"/>
      <c r="N11" s="42"/>
      <c r="O11" s="42"/>
      <c r="P11" s="42"/>
      <c r="Q11" s="43"/>
      <c r="R11" s="7"/>
    </row>
    <row r="12" spans="1:27" ht="9.9499999999999993" customHeight="1">
      <c r="A12" s="4"/>
      <c r="B12" s="44" t="s">
        <v>6</v>
      </c>
      <c r="C12" s="45"/>
      <c r="D12" s="45"/>
      <c r="E12" s="45" t="s">
        <v>5</v>
      </c>
      <c r="F12" s="45"/>
      <c r="G12" s="45"/>
      <c r="H12" s="46" t="s">
        <v>82</v>
      </c>
      <c r="I12" s="45"/>
      <c r="J12" s="45"/>
      <c r="K12" s="45"/>
      <c r="L12" s="47"/>
      <c r="M12" s="44" t="s">
        <v>75</v>
      </c>
      <c r="N12" s="45"/>
      <c r="O12" s="45"/>
      <c r="P12" s="45"/>
      <c r="Q12" s="47"/>
      <c r="R12" s="32"/>
    </row>
    <row r="13" spans="1:27" ht="5.0999999999999996" customHeight="1">
      <c r="A13" s="4"/>
      <c r="B13" s="48"/>
      <c r="C13" s="49"/>
      <c r="D13" s="49"/>
      <c r="E13" s="49" t="s">
        <v>5</v>
      </c>
      <c r="F13" s="49"/>
      <c r="G13" s="49"/>
      <c r="H13" s="48"/>
      <c r="I13" s="49"/>
      <c r="J13" s="49"/>
      <c r="K13" s="49"/>
      <c r="L13" s="50"/>
      <c r="M13" s="48"/>
      <c r="N13" s="49"/>
      <c r="O13" s="49"/>
      <c r="P13" s="49"/>
      <c r="Q13" s="50"/>
      <c r="R13" s="32"/>
    </row>
    <row r="14" spans="1:27" ht="5.0999999999999996" customHeight="1">
      <c r="A14" s="4"/>
      <c r="B14" s="41" t="s">
        <v>2</v>
      </c>
      <c r="C14" s="42" t="s">
        <v>3</v>
      </c>
      <c r="D14" s="42" t="s">
        <v>4</v>
      </c>
      <c r="E14" s="42" t="s">
        <v>5</v>
      </c>
      <c r="F14" s="42"/>
      <c r="G14" s="42"/>
      <c r="H14" s="41"/>
      <c r="I14" s="42"/>
      <c r="J14" s="42"/>
      <c r="K14" s="42"/>
      <c r="L14" s="43"/>
      <c r="M14" s="41"/>
      <c r="N14" s="42"/>
      <c r="O14" s="42"/>
      <c r="P14" s="42"/>
      <c r="Q14" s="51"/>
      <c r="R14" s="32"/>
    </row>
    <row r="15" spans="1:27" ht="9.9499999999999993" customHeight="1">
      <c r="A15" s="4"/>
      <c r="B15" s="44" t="s">
        <v>9</v>
      </c>
      <c r="C15" s="104" t="s">
        <v>90</v>
      </c>
      <c r="D15" s="105"/>
      <c r="E15" s="105"/>
      <c r="F15" s="105"/>
      <c r="G15" s="106"/>
      <c r="H15" s="44" t="s">
        <v>7</v>
      </c>
      <c r="I15" s="45"/>
      <c r="J15" s="45"/>
      <c r="K15" s="45"/>
      <c r="L15" s="52">
        <v>2.0432355398436599E-2</v>
      </c>
      <c r="M15" s="44" t="s">
        <v>8</v>
      </c>
      <c r="N15" s="45"/>
      <c r="O15" s="45"/>
      <c r="P15" s="45"/>
      <c r="Q15" s="53">
        <v>0.91250010943661097</v>
      </c>
      <c r="R15" s="32"/>
    </row>
    <row r="16" spans="1:27" ht="9.9499999999999993" customHeight="1">
      <c r="A16" s="4"/>
      <c r="B16" s="44" t="s">
        <v>0</v>
      </c>
      <c r="C16" s="107" t="s">
        <v>91</v>
      </c>
      <c r="D16" s="108"/>
      <c r="E16" s="108"/>
      <c r="F16" s="108"/>
      <c r="G16" s="109"/>
      <c r="H16" s="44" t="s">
        <v>10</v>
      </c>
      <c r="I16" s="45"/>
      <c r="J16" s="45"/>
      <c r="K16" s="45"/>
      <c r="L16" s="52">
        <v>3.0057514366588801E-2</v>
      </c>
      <c r="M16" s="44" t="s">
        <v>11</v>
      </c>
      <c r="N16" s="45"/>
      <c r="O16" s="45"/>
      <c r="P16" s="45"/>
      <c r="Q16" s="54">
        <v>23.489265558399499</v>
      </c>
      <c r="R16" s="32"/>
    </row>
    <row r="17" spans="1:18" ht="9.9499999999999993" customHeight="1">
      <c r="A17" s="4"/>
      <c r="B17" s="44" t="s">
        <v>12</v>
      </c>
      <c r="C17" s="45" t="s">
        <v>92</v>
      </c>
      <c r="D17" s="45"/>
      <c r="E17" s="45" t="s">
        <v>5</v>
      </c>
      <c r="F17" s="45"/>
      <c r="G17" s="45"/>
      <c r="H17" s="44" t="s">
        <v>13</v>
      </c>
      <c r="I17" s="45"/>
      <c r="J17" s="45"/>
      <c r="K17" s="45"/>
      <c r="L17" s="52">
        <v>3.0034614382040099E-2</v>
      </c>
      <c r="M17" s="44" t="s">
        <v>14</v>
      </c>
      <c r="N17" s="45"/>
      <c r="O17" s="45"/>
      <c r="P17" s="45"/>
      <c r="Q17" s="52">
        <v>0.50938475930362404</v>
      </c>
      <c r="R17" s="32"/>
    </row>
    <row r="18" spans="1:18" ht="9.9499999999999993" customHeight="1">
      <c r="A18" s="4"/>
      <c r="B18" s="44" t="s">
        <v>15</v>
      </c>
      <c r="C18" s="45" t="s">
        <v>93</v>
      </c>
      <c r="D18" s="45"/>
      <c r="E18" s="45" t="s">
        <v>5</v>
      </c>
      <c r="F18" s="45"/>
      <c r="G18" s="45"/>
      <c r="H18" s="44" t="s">
        <v>16</v>
      </c>
      <c r="I18" s="45"/>
      <c r="J18" s="45"/>
      <c r="K18" s="45"/>
      <c r="L18" s="52">
        <v>0.10002697500430199</v>
      </c>
      <c r="M18" s="44" t="s">
        <v>17</v>
      </c>
      <c r="N18" s="45"/>
      <c r="O18" s="45"/>
      <c r="P18" s="45"/>
      <c r="Q18" s="55">
        <v>-54</v>
      </c>
      <c r="R18" s="32"/>
    </row>
    <row r="19" spans="1:18" ht="9.9499999999999993" customHeight="1">
      <c r="A19" s="4"/>
      <c r="B19" s="44" t="s">
        <v>20</v>
      </c>
      <c r="C19" s="112" t="s">
        <v>94</v>
      </c>
      <c r="D19" s="113"/>
      <c r="E19" s="113"/>
      <c r="F19" s="56"/>
      <c r="G19" s="45"/>
      <c r="H19" s="44" t="s">
        <v>18</v>
      </c>
      <c r="I19" s="45"/>
      <c r="J19" s="45"/>
      <c r="K19" s="45"/>
      <c r="L19" s="52">
        <v>7.0458530150092694E-2</v>
      </c>
      <c r="M19" s="44" t="s">
        <v>19</v>
      </c>
      <c r="N19" s="45"/>
      <c r="O19" s="45"/>
      <c r="P19" s="45"/>
      <c r="Q19" s="55">
        <v>103.40937808243</v>
      </c>
      <c r="R19" s="32"/>
    </row>
    <row r="20" spans="1:18" ht="9.9499999999999993" customHeight="1">
      <c r="A20" s="4"/>
      <c r="B20" s="44" t="s">
        <v>71</v>
      </c>
      <c r="C20" s="112" t="s">
        <v>94</v>
      </c>
      <c r="D20" s="113"/>
      <c r="E20" s="113"/>
      <c r="F20" s="56"/>
      <c r="G20" s="45"/>
      <c r="H20" s="44" t="s">
        <v>21</v>
      </c>
      <c r="I20" s="45"/>
      <c r="J20" s="45"/>
      <c r="K20" s="45"/>
      <c r="L20" s="52">
        <v>0.11041879441529601</v>
      </c>
      <c r="M20" s="44" t="s">
        <v>22</v>
      </c>
      <c r="N20" s="45"/>
      <c r="O20" s="45"/>
      <c r="P20" s="45"/>
      <c r="Q20" s="57">
        <v>37.898420025316803</v>
      </c>
      <c r="R20" s="32"/>
    </row>
    <row r="21" spans="1:18" ht="9.9499999999999993" customHeight="1">
      <c r="A21" s="4"/>
      <c r="B21" s="44" t="s">
        <v>72</v>
      </c>
      <c r="C21" s="112" t="s">
        <v>95</v>
      </c>
      <c r="D21" s="113"/>
      <c r="E21" s="113"/>
      <c r="F21" s="56"/>
      <c r="G21" s="45"/>
      <c r="H21" s="44" t="s">
        <v>23</v>
      </c>
      <c r="I21" s="45"/>
      <c r="J21" s="45"/>
      <c r="K21" s="45"/>
      <c r="L21" s="52">
        <v>1.9778320601537201E-2</v>
      </c>
      <c r="M21" s="44" t="s">
        <v>24</v>
      </c>
      <c r="N21" s="45"/>
      <c r="O21" s="45"/>
      <c r="P21" s="45"/>
      <c r="Q21" s="58">
        <v>19.938964535156401</v>
      </c>
      <c r="R21" s="32"/>
    </row>
    <row r="22" spans="1:18" ht="9.9499999999999993" customHeight="1">
      <c r="A22" s="4"/>
      <c r="B22" s="44" t="s">
        <v>73</v>
      </c>
      <c r="C22" s="114" t="s">
        <v>96</v>
      </c>
      <c r="D22" s="115"/>
      <c r="E22" s="115"/>
      <c r="F22" s="115"/>
      <c r="G22" s="116"/>
      <c r="H22" s="44" t="s">
        <v>84</v>
      </c>
      <c r="I22" s="45"/>
      <c r="J22" s="45"/>
      <c r="K22" s="45"/>
      <c r="L22" s="52">
        <v>0.23109560285075001</v>
      </c>
      <c r="M22" s="44" t="s">
        <v>25</v>
      </c>
      <c r="N22" s="45"/>
      <c r="O22" s="45"/>
      <c r="P22" s="45"/>
      <c r="Q22" s="58">
        <v>8.7925050422490294</v>
      </c>
      <c r="R22" s="32"/>
    </row>
    <row r="23" spans="1:18" ht="9.9499999999999993" customHeight="1">
      <c r="A23" s="4"/>
      <c r="B23" s="44"/>
      <c r="C23" s="115"/>
      <c r="D23" s="115"/>
      <c r="E23" s="115"/>
      <c r="F23" s="115"/>
      <c r="G23" s="116"/>
      <c r="H23" s="44" t="s">
        <v>85</v>
      </c>
      <c r="I23" s="45"/>
      <c r="J23" s="45"/>
      <c r="K23" s="45"/>
      <c r="L23" s="52">
        <v>0.321921047838093</v>
      </c>
      <c r="M23" s="44" t="s">
        <v>26</v>
      </c>
      <c r="N23" s="45"/>
      <c r="O23" s="45"/>
      <c r="P23" s="45"/>
      <c r="Q23" s="57">
        <v>2298.9284657846401</v>
      </c>
      <c r="R23" s="32"/>
    </row>
    <row r="24" spans="1:18" ht="9.9499999999999993" customHeight="1">
      <c r="A24" s="4"/>
      <c r="B24" s="44" t="s">
        <v>2</v>
      </c>
      <c r="C24" s="115"/>
      <c r="D24" s="115"/>
      <c r="E24" s="115"/>
      <c r="F24" s="115"/>
      <c r="G24" s="116"/>
      <c r="H24" s="44" t="s">
        <v>27</v>
      </c>
      <c r="I24" s="45"/>
      <c r="J24" s="45"/>
      <c r="K24" s="45"/>
      <c r="L24" s="52">
        <v>0</v>
      </c>
      <c r="M24" s="44" t="s">
        <v>28</v>
      </c>
      <c r="N24" s="45"/>
      <c r="O24" s="45"/>
      <c r="P24" s="45"/>
      <c r="Q24" s="59">
        <v>1.5299999713897701</v>
      </c>
      <c r="R24" s="32"/>
    </row>
    <row r="25" spans="1:18" ht="9.9499999999999993" customHeight="1">
      <c r="A25" s="4"/>
      <c r="B25" s="44" t="s">
        <v>2</v>
      </c>
      <c r="C25" s="115"/>
      <c r="D25" s="115"/>
      <c r="E25" s="115"/>
      <c r="F25" s="115"/>
      <c r="G25" s="116"/>
      <c r="H25" s="44" t="s">
        <v>86</v>
      </c>
      <c r="I25" s="45"/>
      <c r="J25" s="45"/>
      <c r="K25" s="45"/>
      <c r="L25" s="52">
        <v>0.17307533769771799</v>
      </c>
      <c r="M25" s="44" t="s">
        <v>29</v>
      </c>
      <c r="N25" s="45"/>
      <c r="O25" s="45"/>
      <c r="P25" s="45"/>
      <c r="Q25" s="57">
        <v>3</v>
      </c>
      <c r="R25" s="32"/>
    </row>
    <row r="26" spans="1:18" ht="9.9499999999999993" customHeight="1">
      <c r="A26" s="4"/>
      <c r="B26" s="44" t="s">
        <v>2</v>
      </c>
      <c r="C26" s="115"/>
      <c r="D26" s="115"/>
      <c r="E26" s="115"/>
      <c r="F26" s="115"/>
      <c r="G26" s="116"/>
      <c r="H26" s="44" t="s">
        <v>87</v>
      </c>
      <c r="I26" s="45"/>
      <c r="J26" s="45"/>
      <c r="K26" s="45"/>
      <c r="L26" s="52">
        <v>0.72221217954154304</v>
      </c>
      <c r="M26" s="44" t="s">
        <v>30</v>
      </c>
      <c r="N26" s="45"/>
      <c r="O26" s="45"/>
      <c r="P26" s="45"/>
      <c r="Q26" s="58">
        <v>0</v>
      </c>
      <c r="R26" s="32"/>
    </row>
    <row r="27" spans="1:18" ht="9.9499999999999993" customHeight="1">
      <c r="A27" s="4"/>
      <c r="B27" s="44" t="s">
        <v>2</v>
      </c>
      <c r="C27" s="115"/>
      <c r="D27" s="115"/>
      <c r="E27" s="115"/>
      <c r="F27" s="115"/>
      <c r="G27" s="116"/>
      <c r="H27" s="44" t="s">
        <v>31</v>
      </c>
      <c r="I27" s="45"/>
      <c r="J27" s="45"/>
      <c r="K27" s="45"/>
      <c r="L27" s="52">
        <v>3.68016306629338E-2</v>
      </c>
      <c r="M27" s="44" t="s">
        <v>32</v>
      </c>
      <c r="N27" s="45"/>
      <c r="O27" s="45"/>
      <c r="P27" s="45"/>
      <c r="Q27" s="58">
        <v>1.61511619025444</v>
      </c>
      <c r="R27" s="32"/>
    </row>
    <row r="28" spans="1:18" ht="5.0999999999999996" customHeight="1">
      <c r="A28" s="4"/>
      <c r="B28" s="48"/>
      <c r="C28" s="117"/>
      <c r="D28" s="117"/>
      <c r="E28" s="117"/>
      <c r="F28" s="117"/>
      <c r="G28" s="118"/>
      <c r="H28" s="48"/>
      <c r="I28" s="49"/>
      <c r="J28" s="49"/>
      <c r="K28" s="49"/>
      <c r="L28" s="50"/>
      <c r="M28" s="48"/>
      <c r="N28" s="49"/>
      <c r="O28" s="49"/>
      <c r="P28" s="49"/>
      <c r="Q28" s="50"/>
      <c r="R28" s="32"/>
    </row>
    <row r="29" spans="1:18" ht="2.1" customHeight="1">
      <c r="A29" s="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32"/>
    </row>
    <row r="30" spans="1:18" ht="2.1" customHeight="1">
      <c r="A30" s="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32"/>
    </row>
    <row r="31" spans="1:18" ht="9.9499999999999993" customHeight="1">
      <c r="A31" s="4"/>
      <c r="B31" s="41" t="s">
        <v>33</v>
      </c>
      <c r="C31" s="60" t="s">
        <v>34</v>
      </c>
      <c r="D31" s="41"/>
      <c r="E31" s="41" t="s">
        <v>35</v>
      </c>
      <c r="F31" s="42"/>
      <c r="G31" s="42" t="s">
        <v>36</v>
      </c>
      <c r="H31" s="42" t="s">
        <v>5</v>
      </c>
      <c r="I31" s="42"/>
      <c r="J31" s="42"/>
      <c r="K31" s="42"/>
      <c r="L31" s="42"/>
      <c r="M31" s="43"/>
      <c r="N31" s="42"/>
      <c r="O31" s="42"/>
      <c r="P31" s="42"/>
      <c r="Q31" s="43"/>
      <c r="R31" s="7"/>
    </row>
    <row r="32" spans="1:18" ht="9.9499999999999993" customHeight="1">
      <c r="A32" s="4"/>
      <c r="B32" s="44" t="s">
        <v>37</v>
      </c>
      <c r="C32" s="61"/>
      <c r="D32" s="62"/>
      <c r="E32" s="119" t="s">
        <v>38</v>
      </c>
      <c r="F32" s="120"/>
      <c r="G32" s="120"/>
      <c r="H32" s="120"/>
      <c r="I32" s="120"/>
      <c r="J32" s="120"/>
      <c r="K32" s="120"/>
      <c r="L32" s="120"/>
      <c r="M32" s="121"/>
      <c r="N32" s="110" t="s">
        <v>39</v>
      </c>
      <c r="O32" s="110"/>
      <c r="P32" s="110"/>
      <c r="Q32" s="111"/>
      <c r="R32" s="7"/>
    </row>
    <row r="33" spans="1:18" ht="5.0999999999999996" customHeight="1">
      <c r="A33" s="4"/>
      <c r="B33" s="44" t="s">
        <v>33</v>
      </c>
      <c r="C33" s="63" t="s">
        <v>34</v>
      </c>
      <c r="D33" s="44"/>
      <c r="E33" s="44"/>
      <c r="F33" s="45"/>
      <c r="G33" s="45" t="s">
        <v>5</v>
      </c>
      <c r="H33" s="45"/>
      <c r="I33" s="45"/>
      <c r="J33" s="45"/>
      <c r="K33" s="45"/>
      <c r="L33" s="45"/>
      <c r="M33" s="47"/>
      <c r="N33" s="45"/>
      <c r="O33" s="45"/>
      <c r="P33" s="45"/>
      <c r="Q33" s="47"/>
      <c r="R33" s="7"/>
    </row>
    <row r="34" spans="1:18" ht="5.0999999999999996" customHeight="1">
      <c r="A34" s="4"/>
      <c r="B34" s="44" t="s">
        <v>33</v>
      </c>
      <c r="C34" s="63" t="s">
        <v>34</v>
      </c>
      <c r="D34" s="44"/>
      <c r="E34" s="44" t="s">
        <v>34</v>
      </c>
      <c r="F34" s="45" t="s">
        <v>34</v>
      </c>
      <c r="G34" s="45" t="s">
        <v>34</v>
      </c>
      <c r="H34" s="45" t="s">
        <v>34</v>
      </c>
      <c r="I34" s="45" t="s">
        <v>34</v>
      </c>
      <c r="J34" s="45" t="s">
        <v>34</v>
      </c>
      <c r="K34" s="45" t="s">
        <v>34</v>
      </c>
      <c r="L34" s="45" t="s">
        <v>34</v>
      </c>
      <c r="M34" s="47" t="s">
        <v>34</v>
      </c>
      <c r="N34" s="45" t="s">
        <v>34</v>
      </c>
      <c r="O34" s="45" t="s">
        <v>34</v>
      </c>
      <c r="P34" s="45" t="s">
        <v>34</v>
      </c>
      <c r="Q34" s="47" t="s">
        <v>34</v>
      </c>
      <c r="R34" s="7" t="s">
        <v>5</v>
      </c>
    </row>
    <row r="35" spans="1:18" ht="9.9499999999999993" customHeight="1">
      <c r="A35" s="4"/>
      <c r="B35" s="44" t="s">
        <v>40</v>
      </c>
      <c r="C35" s="64" t="s">
        <v>41</v>
      </c>
      <c r="D35" s="65" t="s">
        <v>80</v>
      </c>
      <c r="E35" s="66" t="s">
        <v>42</v>
      </c>
      <c r="F35" s="67">
        <v>65</v>
      </c>
      <c r="G35" s="67">
        <v>100</v>
      </c>
      <c r="H35" s="67">
        <v>150</v>
      </c>
      <c r="I35" s="67">
        <v>200</v>
      </c>
      <c r="J35" s="67">
        <v>250</v>
      </c>
      <c r="K35" s="67">
        <v>300</v>
      </c>
      <c r="L35" s="67">
        <v>350</v>
      </c>
      <c r="M35" s="68">
        <v>370</v>
      </c>
      <c r="N35" s="67">
        <v>370</v>
      </c>
      <c r="O35" s="67">
        <v>450</v>
      </c>
      <c r="P35" s="67">
        <v>500</v>
      </c>
      <c r="Q35" s="68">
        <v>550</v>
      </c>
      <c r="R35" s="7" t="s">
        <v>5</v>
      </c>
    </row>
    <row r="36" spans="1:18" ht="9.9499999999999993" customHeight="1">
      <c r="A36" s="4"/>
      <c r="B36" s="44" t="s">
        <v>43</v>
      </c>
      <c r="C36" s="64" t="s">
        <v>44</v>
      </c>
      <c r="D36" s="65" t="s">
        <v>81</v>
      </c>
      <c r="E36" s="66">
        <v>65</v>
      </c>
      <c r="F36" s="67">
        <v>100</v>
      </c>
      <c r="G36" s="67">
        <v>150</v>
      </c>
      <c r="H36" s="67">
        <v>200</v>
      </c>
      <c r="I36" s="67">
        <v>250</v>
      </c>
      <c r="J36" s="67">
        <v>300</v>
      </c>
      <c r="K36" s="67">
        <v>350</v>
      </c>
      <c r="L36" s="67">
        <v>370</v>
      </c>
      <c r="M36" s="68" t="s">
        <v>45</v>
      </c>
      <c r="N36" s="67">
        <v>450</v>
      </c>
      <c r="O36" s="67">
        <v>500</v>
      </c>
      <c r="P36" s="67">
        <v>550</v>
      </c>
      <c r="Q36" s="68" t="s">
        <v>45</v>
      </c>
      <c r="R36" s="7" t="s">
        <v>5</v>
      </c>
    </row>
    <row r="37" spans="1:18" ht="5.0999999999999996" customHeight="1">
      <c r="A37" s="4"/>
      <c r="B37" s="48"/>
      <c r="C37" s="69"/>
      <c r="D37" s="48"/>
      <c r="E37" s="48"/>
      <c r="F37" s="49"/>
      <c r="G37" s="49"/>
      <c r="H37" s="49"/>
      <c r="I37" s="49"/>
      <c r="J37" s="49"/>
      <c r="K37" s="49"/>
      <c r="L37" s="49"/>
      <c r="M37" s="50"/>
      <c r="N37" s="49"/>
      <c r="O37" s="49"/>
      <c r="P37" s="49"/>
      <c r="Q37" s="50"/>
      <c r="R37" s="7"/>
    </row>
    <row r="38" spans="1:18" ht="5.0999999999999996" customHeight="1">
      <c r="A38" s="4"/>
      <c r="B38" s="41" t="s">
        <v>33</v>
      </c>
      <c r="C38" s="60" t="s">
        <v>34</v>
      </c>
      <c r="D38" s="41"/>
      <c r="E38" s="41" t="s">
        <v>34</v>
      </c>
      <c r="F38" s="42" t="s">
        <v>34</v>
      </c>
      <c r="G38" s="42" t="s">
        <v>34</v>
      </c>
      <c r="H38" s="42" t="s">
        <v>34</v>
      </c>
      <c r="I38" s="42" t="s">
        <v>34</v>
      </c>
      <c r="J38" s="42" t="s">
        <v>34</v>
      </c>
      <c r="K38" s="42" t="s">
        <v>34</v>
      </c>
      <c r="L38" s="42" t="s">
        <v>34</v>
      </c>
      <c r="M38" s="42" t="s">
        <v>34</v>
      </c>
      <c r="N38" s="41" t="s">
        <v>34</v>
      </c>
      <c r="O38" s="42" t="s">
        <v>34</v>
      </c>
      <c r="P38" s="42" t="s">
        <v>34</v>
      </c>
      <c r="Q38" s="43" t="s">
        <v>34</v>
      </c>
      <c r="R38" s="7" t="s">
        <v>5</v>
      </c>
    </row>
    <row r="39" spans="1:18" ht="9.9499999999999993" customHeight="1">
      <c r="A39" s="4"/>
      <c r="B39" s="44" t="s">
        <v>46</v>
      </c>
      <c r="C39" s="61"/>
      <c r="D39" s="70">
        <v>0.182738136059724</v>
      </c>
      <c r="E39" s="71">
        <v>0.35522418410503398</v>
      </c>
      <c r="F39" s="71">
        <v>0.90904227888195999</v>
      </c>
      <c r="G39" s="71">
        <v>3.1771477053928701</v>
      </c>
      <c r="H39" s="71">
        <v>4.5774045234856704</v>
      </c>
      <c r="I39" s="71">
        <v>7.0384822511139102</v>
      </c>
      <c r="J39" s="71">
        <v>10.177274448472501</v>
      </c>
      <c r="K39" s="71">
        <v>10.0439389964623</v>
      </c>
      <c r="L39" s="71">
        <v>4.0042434867437802</v>
      </c>
      <c r="M39" s="71">
        <v>59.534503989282101</v>
      </c>
      <c r="N39" s="72">
        <v>16.681749868985101</v>
      </c>
      <c r="O39" s="71">
        <v>9.5737727119807605</v>
      </c>
      <c r="P39" s="71">
        <v>8.0206039225454298</v>
      </c>
      <c r="Q39" s="58">
        <v>25.2583774857709</v>
      </c>
      <c r="R39" s="7" t="s">
        <v>5</v>
      </c>
    </row>
    <row r="40" spans="1:18" ht="9.9499999999999993" customHeight="1">
      <c r="A40" s="4"/>
      <c r="B40" s="44" t="s">
        <v>47</v>
      </c>
      <c r="C40" s="61"/>
      <c r="D40" s="70">
        <v>0.32429253264937802</v>
      </c>
      <c r="E40" s="71">
        <v>0.49987956822136498</v>
      </c>
      <c r="F40" s="71">
        <v>1.12705921444719</v>
      </c>
      <c r="G40" s="71">
        <v>3.7649144241064998</v>
      </c>
      <c r="H40" s="71">
        <v>5.1614988518607303</v>
      </c>
      <c r="I40" s="71">
        <v>7.5986844842206596</v>
      </c>
      <c r="J40" s="71">
        <v>10.7100290201041</v>
      </c>
      <c r="K40" s="71">
        <v>10.3210549669695</v>
      </c>
      <c r="L40" s="71">
        <v>4.0417504662461701</v>
      </c>
      <c r="M40" s="71">
        <v>56.450836471174497</v>
      </c>
      <c r="N40" s="72">
        <v>16.478496053524498</v>
      </c>
      <c r="O40" s="71">
        <v>9.2848766953078794</v>
      </c>
      <c r="P40" s="71">
        <v>7.7208797157874498</v>
      </c>
      <c r="Q40" s="58">
        <v>22.966584006554601</v>
      </c>
      <c r="R40" s="7" t="s">
        <v>5</v>
      </c>
    </row>
    <row r="41" spans="1:18" ht="9.9499999999999993" customHeight="1">
      <c r="A41" s="4"/>
      <c r="B41" s="44" t="s">
        <v>48</v>
      </c>
      <c r="C41" s="61"/>
      <c r="D41" s="70">
        <v>0.182738136059724</v>
      </c>
      <c r="E41" s="71">
        <v>0.53796232016475798</v>
      </c>
      <c r="F41" s="71">
        <v>1.44700459904672</v>
      </c>
      <c r="G41" s="71">
        <v>4.6241523044395896</v>
      </c>
      <c r="H41" s="71">
        <v>9.2015568279252502</v>
      </c>
      <c r="I41" s="71">
        <v>16.2400390790392</v>
      </c>
      <c r="J41" s="71">
        <v>26.417313527511698</v>
      </c>
      <c r="K41" s="71">
        <v>36.461252523973997</v>
      </c>
      <c r="L41" s="71">
        <v>40.4654960107178</v>
      </c>
      <c r="M41" s="71">
        <v>100</v>
      </c>
      <c r="N41" s="72"/>
      <c r="O41" s="71"/>
      <c r="P41" s="71"/>
      <c r="Q41" s="58"/>
      <c r="R41" s="7" t="s">
        <v>5</v>
      </c>
    </row>
    <row r="42" spans="1:18" ht="9.9499999999999993" customHeight="1">
      <c r="A42" s="4"/>
      <c r="B42" s="44" t="s">
        <v>8</v>
      </c>
      <c r="C42" s="73">
        <v>0.91250010943661097</v>
      </c>
      <c r="D42" s="73"/>
      <c r="E42" s="74">
        <v>0.64884470731425103</v>
      </c>
      <c r="F42" s="74">
        <v>0.73644611491442602</v>
      </c>
      <c r="G42" s="74">
        <v>0.770523561606823</v>
      </c>
      <c r="H42" s="74">
        <v>0.80974278380336095</v>
      </c>
      <c r="I42" s="74">
        <v>0.84575433964024305</v>
      </c>
      <c r="J42" s="74">
        <v>0.86764978919809899</v>
      </c>
      <c r="K42" s="74">
        <v>0.88855354176655599</v>
      </c>
      <c r="L42" s="74">
        <v>0.90459588486826903</v>
      </c>
      <c r="M42" s="74">
        <v>0.96294611448495204</v>
      </c>
      <c r="N42" s="75">
        <v>0.92433130031789101</v>
      </c>
      <c r="O42" s="74">
        <v>0.94147891725052202</v>
      </c>
      <c r="P42" s="74">
        <v>0.94851436102315001</v>
      </c>
      <c r="Q42" s="76">
        <v>1.0041825549791601</v>
      </c>
      <c r="R42" s="7" t="s">
        <v>5</v>
      </c>
    </row>
    <row r="43" spans="1:18" ht="9.9499999999999993" customHeight="1">
      <c r="A43" s="4"/>
      <c r="B43" s="44" t="s">
        <v>11</v>
      </c>
      <c r="C43" s="77">
        <v>23.489265558399499</v>
      </c>
      <c r="D43" s="77"/>
      <c r="E43" s="71">
        <v>86.560886259936794</v>
      </c>
      <c r="F43" s="71">
        <v>60.593934715125698</v>
      </c>
      <c r="G43" s="71">
        <v>52.089988564042002</v>
      </c>
      <c r="H43" s="71">
        <v>43.174036945207099</v>
      </c>
      <c r="I43" s="71">
        <v>35.729996908459498</v>
      </c>
      <c r="J43" s="71">
        <v>31.507393576670399</v>
      </c>
      <c r="K43" s="71">
        <v>27.6703588856811</v>
      </c>
      <c r="L43" s="71">
        <v>24.846022557896902</v>
      </c>
      <c r="M43" s="71">
        <v>15.367301120267699</v>
      </c>
      <c r="N43" s="72">
        <v>21.506078448117702</v>
      </c>
      <c r="O43" s="71">
        <v>18.7178441088884</v>
      </c>
      <c r="P43" s="71">
        <v>17.603052929377998</v>
      </c>
      <c r="Q43" s="58">
        <v>9.3333485871784507</v>
      </c>
      <c r="R43" s="7" t="s">
        <v>5</v>
      </c>
    </row>
    <row r="44" spans="1:18" ht="9.9499999999999993" customHeight="1">
      <c r="A44" s="4"/>
      <c r="B44" s="44" t="s">
        <v>49</v>
      </c>
      <c r="C44" s="77">
        <v>11.789387560020799</v>
      </c>
      <c r="D44" s="77"/>
      <c r="E44" s="71"/>
      <c r="F44" s="71"/>
      <c r="G44" s="71">
        <v>11.6544445724189</v>
      </c>
      <c r="H44" s="71">
        <v>11.500554190786</v>
      </c>
      <c r="I44" s="71">
        <v>11.4120453879405</v>
      </c>
      <c r="J44" s="71">
        <v>11.4717674724288</v>
      </c>
      <c r="K44" s="71">
        <v>11.527005089498999</v>
      </c>
      <c r="L44" s="71">
        <v>11.541488903819999</v>
      </c>
      <c r="M44" s="71">
        <v>11.8265452413931</v>
      </c>
      <c r="N44" s="72">
        <v>11.5838699346521</v>
      </c>
      <c r="O44" s="71">
        <v>11.720071080325001</v>
      </c>
      <c r="P44" s="71">
        <v>11.8856755541309</v>
      </c>
      <c r="Q44" s="58">
        <v>11.9425739635208</v>
      </c>
      <c r="R44" s="7" t="s">
        <v>5</v>
      </c>
    </row>
    <row r="45" spans="1:18" ht="5.0999999999999996" customHeight="1">
      <c r="A45" s="4"/>
      <c r="B45" s="48"/>
      <c r="C45" s="78"/>
      <c r="D45" s="78"/>
      <c r="E45" s="79"/>
      <c r="F45" s="79"/>
      <c r="G45" s="79"/>
      <c r="H45" s="79"/>
      <c r="I45" s="79"/>
      <c r="J45" s="79"/>
      <c r="K45" s="79"/>
      <c r="L45" s="79"/>
      <c r="M45" s="80"/>
      <c r="N45" s="79"/>
      <c r="O45" s="79"/>
      <c r="P45" s="79"/>
      <c r="Q45" s="80"/>
      <c r="R45" s="7"/>
    </row>
    <row r="46" spans="1:18" ht="5.0999999999999996" customHeight="1">
      <c r="A46" s="4"/>
      <c r="B46" s="41" t="s">
        <v>50</v>
      </c>
      <c r="C46" s="81"/>
      <c r="D46" s="81"/>
      <c r="E46" s="82"/>
      <c r="F46" s="82"/>
      <c r="G46" s="82"/>
      <c r="H46" s="82"/>
      <c r="I46" s="82"/>
      <c r="J46" s="82"/>
      <c r="K46" s="82"/>
      <c r="L46" s="82"/>
      <c r="M46" s="83"/>
      <c r="N46" s="82"/>
      <c r="O46" s="82"/>
      <c r="P46" s="82"/>
      <c r="Q46" s="83"/>
      <c r="R46" s="7" t="s">
        <v>5</v>
      </c>
    </row>
    <row r="47" spans="1:18" ht="9.9499999999999993" customHeight="1">
      <c r="A47" s="4"/>
      <c r="B47" s="44" t="s">
        <v>14</v>
      </c>
      <c r="C47" s="84">
        <v>0.50938475930362404</v>
      </c>
      <c r="D47" s="84"/>
      <c r="E47" s="85">
        <v>5.5896325086568699E-3</v>
      </c>
      <c r="F47" s="85">
        <v>8.4931575921333297E-3</v>
      </c>
      <c r="G47" s="85">
        <v>1.4857147753746899E-2</v>
      </c>
      <c r="H47" s="85">
        <v>3.7215048993207697E-2</v>
      </c>
      <c r="I47" s="85">
        <v>7.7433569963883897E-2</v>
      </c>
      <c r="J47" s="85">
        <v>0.15390150027593699</v>
      </c>
      <c r="K47" s="85">
        <v>0.34875041824756597</v>
      </c>
      <c r="L47" s="85">
        <v>0.47437692545591897</v>
      </c>
      <c r="M47" s="85">
        <v>0.72558858952789496</v>
      </c>
      <c r="N47" s="86">
        <v>0.50403956667939498</v>
      </c>
      <c r="O47" s="85">
        <v>0.57431767994274796</v>
      </c>
      <c r="P47" s="85">
        <v>0.68514210847771495</v>
      </c>
      <c r="Q47" s="87">
        <v>0.94208958595271797</v>
      </c>
      <c r="R47" s="7" t="s">
        <v>5</v>
      </c>
    </row>
    <row r="48" spans="1:18" ht="9.9499999999999993" customHeight="1">
      <c r="A48" s="4"/>
      <c r="B48" s="44" t="s">
        <v>29</v>
      </c>
      <c r="C48" s="88">
        <v>3</v>
      </c>
      <c r="D48" s="77"/>
      <c r="E48" s="71">
        <v>24.6349284848576</v>
      </c>
      <c r="F48" s="71">
        <v>22.033467207053501</v>
      </c>
      <c r="G48" s="71">
        <v>7.1907056211796503</v>
      </c>
      <c r="H48" s="71">
        <v>6.4272058281280797</v>
      </c>
      <c r="I48" s="71">
        <v>4.5990100730858101</v>
      </c>
      <c r="J48" s="71">
        <v>5.5428149504118496</v>
      </c>
      <c r="K48" s="71"/>
      <c r="L48" s="71"/>
      <c r="M48" s="58"/>
      <c r="N48" s="71"/>
      <c r="O48" s="71"/>
      <c r="P48" s="71"/>
      <c r="Q48" s="58"/>
      <c r="R48" s="7" t="s">
        <v>5</v>
      </c>
    </row>
    <row r="49" spans="1:18" ht="9.9499999999999993" customHeight="1">
      <c r="A49" s="4"/>
      <c r="B49" s="44" t="s">
        <v>26</v>
      </c>
      <c r="C49" s="88">
        <v>2298.9284657846401</v>
      </c>
      <c r="D49" s="88"/>
      <c r="E49" s="89"/>
      <c r="F49" s="89"/>
      <c r="G49" s="89"/>
      <c r="H49" s="89"/>
      <c r="I49" s="89">
        <v>2.10746848795449</v>
      </c>
      <c r="J49" s="89">
        <v>9.4811655111657895</v>
      </c>
      <c r="K49" s="89">
        <v>100.597285514158</v>
      </c>
      <c r="L49" s="89">
        <v>338.78486939177799</v>
      </c>
      <c r="M49" s="89">
        <v>3819.8152732204398</v>
      </c>
      <c r="N49" s="90">
        <v>891.87184442680098</v>
      </c>
      <c r="O49" s="89">
        <v>1849.79083592446</v>
      </c>
      <c r="P49" s="89">
        <v>2810.9546718820702</v>
      </c>
      <c r="Q49" s="57">
        <v>6820.6199546964399</v>
      </c>
      <c r="R49" s="7" t="s">
        <v>5</v>
      </c>
    </row>
    <row r="50" spans="1:18" ht="9.9499999999999993" customHeight="1">
      <c r="A50" s="4"/>
      <c r="B50" s="44" t="s">
        <v>51</v>
      </c>
      <c r="C50" s="88">
        <v>720.83057438732999</v>
      </c>
      <c r="D50" s="61"/>
      <c r="E50" s="91"/>
      <c r="F50" s="91"/>
      <c r="G50" s="91"/>
      <c r="H50" s="91"/>
      <c r="I50" s="91">
        <v>2.6750074277682399</v>
      </c>
      <c r="J50" s="91">
        <v>14.3809364678047</v>
      </c>
      <c r="K50" s="91">
        <v>62.397686250816001</v>
      </c>
      <c r="L50" s="91">
        <v>136.51071238080499</v>
      </c>
      <c r="M50" s="92">
        <v>1188.26326726963</v>
      </c>
      <c r="N50" s="91">
        <v>309.379987040039</v>
      </c>
      <c r="O50" s="91">
        <v>583.55667683096203</v>
      </c>
      <c r="P50" s="91">
        <v>812.46173865363698</v>
      </c>
      <c r="Q50" s="92">
        <v>2117.2536478613501</v>
      </c>
      <c r="R50" s="7" t="s">
        <v>5</v>
      </c>
    </row>
    <row r="51" spans="1:18" ht="9.9499999999999993" customHeight="1">
      <c r="A51" s="4"/>
      <c r="B51" s="44" t="s">
        <v>28</v>
      </c>
      <c r="C51" s="93">
        <v>1.5299999713897701</v>
      </c>
      <c r="D51" s="93"/>
      <c r="E51" s="94">
        <v>7.1356295663903301E-4</v>
      </c>
      <c r="F51" s="94">
        <v>6.2338077307266997E-3</v>
      </c>
      <c r="G51" s="94">
        <v>5.9514392087141599E-2</v>
      </c>
      <c r="H51" s="94">
        <v>0.49607568961529902</v>
      </c>
      <c r="I51" s="94">
        <v>1.2356922631402401</v>
      </c>
      <c r="J51" s="94">
        <v>2.2191260812829299</v>
      </c>
      <c r="K51" s="94">
        <v>2.6996444275493601</v>
      </c>
      <c r="L51" s="94">
        <v>2.5096886864870598</v>
      </c>
      <c r="M51" s="94">
        <v>0.94784541272145095</v>
      </c>
      <c r="N51" s="95">
        <v>2.0926439420284901</v>
      </c>
      <c r="O51" s="94">
        <v>1.36659994783183</v>
      </c>
      <c r="P51" s="94">
        <v>0.74054734603511196</v>
      </c>
      <c r="Q51" s="59">
        <v>9.8873708865195697E-2</v>
      </c>
      <c r="R51" s="7" t="s">
        <v>5</v>
      </c>
    </row>
    <row r="52" spans="1:18" ht="5.0999999999999996" customHeight="1">
      <c r="A52" s="4"/>
      <c r="B52" s="48"/>
      <c r="C52" s="78"/>
      <c r="D52" s="78"/>
      <c r="E52" s="79"/>
      <c r="F52" s="79"/>
      <c r="G52" s="79"/>
      <c r="H52" s="79"/>
      <c r="I52" s="79"/>
      <c r="J52" s="79"/>
      <c r="K52" s="79"/>
      <c r="L52" s="79"/>
      <c r="M52" s="80"/>
      <c r="N52" s="79"/>
      <c r="O52" s="79"/>
      <c r="P52" s="79"/>
      <c r="Q52" s="80"/>
      <c r="R52" s="7"/>
    </row>
    <row r="53" spans="1:18" ht="5.0999999999999996" customHeight="1">
      <c r="A53" s="4"/>
      <c r="B53" s="41" t="s">
        <v>50</v>
      </c>
      <c r="C53" s="81"/>
      <c r="D53" s="81"/>
      <c r="E53" s="82"/>
      <c r="F53" s="82"/>
      <c r="G53" s="82"/>
      <c r="H53" s="82"/>
      <c r="I53" s="82"/>
      <c r="J53" s="82"/>
      <c r="K53" s="82"/>
      <c r="L53" s="82"/>
      <c r="M53" s="83"/>
      <c r="N53" s="82"/>
      <c r="O53" s="82"/>
      <c r="P53" s="82"/>
      <c r="Q53" s="83"/>
      <c r="R53" s="7" t="s">
        <v>5</v>
      </c>
    </row>
    <row r="54" spans="1:18" ht="9.9499999999999993" customHeight="1">
      <c r="A54" s="4"/>
      <c r="B54" s="44" t="s">
        <v>19</v>
      </c>
      <c r="C54" s="96">
        <v>103.40937808243</v>
      </c>
      <c r="D54" s="96"/>
      <c r="E54" s="97"/>
      <c r="F54" s="97"/>
      <c r="G54" s="97"/>
      <c r="H54" s="97">
        <v>1.4630184355762801</v>
      </c>
      <c r="I54" s="97"/>
      <c r="J54" s="97"/>
      <c r="K54" s="97"/>
      <c r="L54" s="97"/>
      <c r="M54" s="98"/>
      <c r="N54" s="97"/>
      <c r="O54" s="97"/>
      <c r="P54" s="97"/>
      <c r="Q54" s="98"/>
      <c r="R54" s="7" t="s">
        <v>5</v>
      </c>
    </row>
    <row r="55" spans="1:18" ht="9.9499999999999993" customHeight="1">
      <c r="A55" s="4"/>
      <c r="B55" s="44" t="s">
        <v>22</v>
      </c>
      <c r="C55" s="96">
        <v>37.898420025316803</v>
      </c>
      <c r="D55" s="96"/>
      <c r="E55" s="97"/>
      <c r="F55" s="97"/>
      <c r="G55" s="97"/>
      <c r="H55" s="97">
        <v>1.1060120932659601</v>
      </c>
      <c r="I55" s="97">
        <v>1.92451847826389</v>
      </c>
      <c r="J55" s="97">
        <v>3.6383729286828501</v>
      </c>
      <c r="K55" s="97">
        <v>8.4045320337468308</v>
      </c>
      <c r="L55" s="97">
        <v>17.228641393417</v>
      </c>
      <c r="M55" s="98"/>
      <c r="N55" s="97"/>
      <c r="O55" s="97"/>
      <c r="P55" s="97"/>
      <c r="Q55" s="98"/>
      <c r="R55" s="7" t="s">
        <v>5</v>
      </c>
    </row>
    <row r="56" spans="1:18" ht="9.9499999999999993" customHeight="1">
      <c r="A56" s="4"/>
      <c r="B56" s="44" t="s">
        <v>52</v>
      </c>
      <c r="C56" s="96">
        <v>25.301686749192399</v>
      </c>
      <c r="D56" s="96"/>
      <c r="E56" s="97"/>
      <c r="F56" s="97"/>
      <c r="G56" s="97"/>
      <c r="H56" s="97"/>
      <c r="I56" s="97">
        <v>1.6301855073345499</v>
      </c>
      <c r="J56" s="97">
        <v>2.92194870814139</v>
      </c>
      <c r="K56" s="97">
        <v>6.2567343281287302</v>
      </c>
      <c r="L56" s="97">
        <v>11.9294361798339</v>
      </c>
      <c r="M56" s="97">
        <v>1009.9006804575901</v>
      </c>
      <c r="N56" s="99">
        <v>30.722323292113501</v>
      </c>
      <c r="O56" s="97">
        <v>121.700776621169</v>
      </c>
      <c r="P56" s="97">
        <v>413.47126061517002</v>
      </c>
      <c r="Q56" s="98"/>
      <c r="R56" s="7" t="s">
        <v>5</v>
      </c>
    </row>
    <row r="57" spans="1:18" ht="9.9499999999999993" customHeight="1">
      <c r="A57" s="4"/>
      <c r="B57" s="44" t="s">
        <v>53</v>
      </c>
      <c r="C57" s="96"/>
      <c r="D57" s="96"/>
      <c r="E57" s="97"/>
      <c r="F57" s="97"/>
      <c r="G57" s="97"/>
      <c r="H57" s="97"/>
      <c r="I57" s="97"/>
      <c r="J57" s="97"/>
      <c r="K57" s="97"/>
      <c r="L57" s="97"/>
      <c r="M57" s="97">
        <v>470.34449214453701</v>
      </c>
      <c r="N57" s="99">
        <v>20.360397923560299</v>
      </c>
      <c r="O57" s="97">
        <v>70.503579794966996</v>
      </c>
      <c r="P57" s="97">
        <v>214.02316858965401</v>
      </c>
      <c r="Q57" s="98"/>
      <c r="R57" s="7" t="s">
        <v>5</v>
      </c>
    </row>
    <row r="58" spans="1:18" ht="9.9499999999999993" customHeight="1">
      <c r="A58" s="4"/>
      <c r="B58" s="44" t="s">
        <v>54</v>
      </c>
      <c r="C58" s="96"/>
      <c r="D58" s="96"/>
      <c r="E58" s="97"/>
      <c r="F58" s="97"/>
      <c r="G58" s="97"/>
      <c r="H58" s="97"/>
      <c r="I58" s="97"/>
      <c r="J58" s="97"/>
      <c r="K58" s="97"/>
      <c r="L58" s="97"/>
      <c r="M58" s="97">
        <v>53.029923771763698</v>
      </c>
      <c r="N58" s="99">
        <v>6.1600035875413397</v>
      </c>
      <c r="O58" s="97">
        <v>14.692418161118299</v>
      </c>
      <c r="P58" s="97">
        <v>32.2432389929875</v>
      </c>
      <c r="Q58" s="98">
        <v>2216.1242251754302</v>
      </c>
      <c r="R58" s="7" t="s">
        <v>5</v>
      </c>
    </row>
    <row r="59" spans="1:18" ht="9.9499999999999993" customHeight="1">
      <c r="A59" s="4"/>
      <c r="B59" s="44" t="s">
        <v>55</v>
      </c>
      <c r="C59" s="96"/>
      <c r="D59" s="96"/>
      <c r="E59" s="97"/>
      <c r="F59" s="97"/>
      <c r="G59" s="97"/>
      <c r="H59" s="97"/>
      <c r="I59" s="97"/>
      <c r="J59" s="97"/>
      <c r="K59" s="97"/>
      <c r="L59" s="97"/>
      <c r="M59" s="98"/>
      <c r="N59" s="97"/>
      <c r="O59" s="97"/>
      <c r="P59" s="97"/>
      <c r="Q59" s="98">
        <v>323.96917246558201</v>
      </c>
      <c r="R59" s="7" t="s">
        <v>5</v>
      </c>
    </row>
    <row r="60" spans="1:18" ht="5.0999999999999996" customHeight="1">
      <c r="A60" s="4"/>
      <c r="B60" s="48"/>
      <c r="C60" s="78"/>
      <c r="D60" s="78"/>
      <c r="E60" s="79"/>
      <c r="F60" s="79"/>
      <c r="G60" s="79"/>
      <c r="H60" s="79"/>
      <c r="I60" s="79"/>
      <c r="J60" s="79"/>
      <c r="K60" s="79"/>
      <c r="L60" s="79"/>
      <c r="M60" s="80"/>
      <c r="N60" s="79"/>
      <c r="O60" s="79"/>
      <c r="P60" s="79"/>
      <c r="Q60" s="80"/>
      <c r="R60" s="7"/>
    </row>
    <row r="61" spans="1:18" ht="5.0999999999999996" customHeight="1">
      <c r="A61" s="4"/>
      <c r="B61" s="41" t="s">
        <v>50</v>
      </c>
      <c r="C61" s="81"/>
      <c r="D61" s="81"/>
      <c r="E61" s="82"/>
      <c r="F61" s="82"/>
      <c r="G61" s="82"/>
      <c r="H61" s="82"/>
      <c r="I61" s="82"/>
      <c r="J61" s="82"/>
      <c r="K61" s="82"/>
      <c r="L61" s="82"/>
      <c r="M61" s="83"/>
      <c r="N61" s="82"/>
      <c r="O61" s="82"/>
      <c r="P61" s="82"/>
      <c r="Q61" s="83"/>
      <c r="R61" s="7" t="s">
        <v>5</v>
      </c>
    </row>
    <row r="62" spans="1:18" ht="9.9499999999999993" customHeight="1">
      <c r="A62" s="4"/>
      <c r="B62" s="44" t="s">
        <v>56</v>
      </c>
      <c r="C62" s="77"/>
      <c r="D62" s="77"/>
      <c r="E62" s="71">
        <v>80.056484875030705</v>
      </c>
      <c r="F62" s="71">
        <v>74.6008567421745</v>
      </c>
      <c r="G62" s="71">
        <v>72.106320568551894</v>
      </c>
      <c r="H62" s="71">
        <v>63.108642830733103</v>
      </c>
      <c r="I62" s="71"/>
      <c r="J62" s="71"/>
      <c r="K62" s="71"/>
      <c r="L62" s="71"/>
      <c r="M62" s="58"/>
      <c r="N62" s="71"/>
      <c r="O62" s="71"/>
      <c r="P62" s="71"/>
      <c r="Q62" s="58"/>
      <c r="R62" s="7" t="s">
        <v>5</v>
      </c>
    </row>
    <row r="63" spans="1:18" ht="9.9499999999999993" customHeight="1">
      <c r="A63" s="4"/>
      <c r="B63" s="44" t="s">
        <v>57</v>
      </c>
      <c r="C63" s="77"/>
      <c r="D63" s="77"/>
      <c r="E63" s="71">
        <v>79.292290296791094</v>
      </c>
      <c r="F63" s="71">
        <v>69.664087890771995</v>
      </c>
      <c r="G63" s="71">
        <v>56.456044012089301</v>
      </c>
      <c r="H63" s="71">
        <v>44.566822197618102</v>
      </c>
      <c r="I63" s="71"/>
      <c r="J63" s="71"/>
      <c r="K63" s="71"/>
      <c r="L63" s="71"/>
      <c r="M63" s="58"/>
      <c r="N63" s="71"/>
      <c r="O63" s="71"/>
      <c r="P63" s="71"/>
      <c r="Q63" s="58"/>
      <c r="R63" s="7" t="s">
        <v>5</v>
      </c>
    </row>
    <row r="64" spans="1:18" ht="9.9499999999999993" customHeight="1">
      <c r="A64" s="4"/>
      <c r="B64" s="44" t="s">
        <v>58</v>
      </c>
      <c r="C64" s="77">
        <v>13.6228728604535</v>
      </c>
      <c r="D64" s="77"/>
      <c r="E64" s="71">
        <v>94.432158201343299</v>
      </c>
      <c r="F64" s="71">
        <v>27.590260730550799</v>
      </c>
      <c r="G64" s="71">
        <v>25.6237352946162</v>
      </c>
      <c r="H64" s="71">
        <v>18.849576204558801</v>
      </c>
      <c r="I64" s="71"/>
      <c r="J64" s="71"/>
      <c r="K64" s="71"/>
      <c r="L64" s="71"/>
      <c r="M64" s="58"/>
      <c r="N64" s="71"/>
      <c r="O64" s="71"/>
      <c r="P64" s="71"/>
      <c r="Q64" s="58"/>
      <c r="R64" s="7" t="s">
        <v>5</v>
      </c>
    </row>
    <row r="65" spans="1:18" ht="9.9499999999999993" customHeight="1">
      <c r="A65" s="4"/>
      <c r="B65" s="44" t="s">
        <v>59</v>
      </c>
      <c r="C65" s="77">
        <v>54.438461044036103</v>
      </c>
      <c r="D65" s="77"/>
      <c r="E65" s="71">
        <v>5.5678417986566799</v>
      </c>
      <c r="F65" s="71">
        <v>72.409739269449204</v>
      </c>
      <c r="G65" s="71">
        <v>67.640810692965303</v>
      </c>
      <c r="H65" s="71">
        <v>68.020054558456195</v>
      </c>
      <c r="I65" s="71"/>
      <c r="J65" s="71"/>
      <c r="K65" s="71"/>
      <c r="L65" s="71"/>
      <c r="M65" s="58"/>
      <c r="N65" s="71"/>
      <c r="O65" s="71"/>
      <c r="P65" s="71"/>
      <c r="Q65" s="58"/>
      <c r="R65" s="7" t="s">
        <v>5</v>
      </c>
    </row>
    <row r="66" spans="1:18" ht="9.9499999999999993" customHeight="1">
      <c r="A66" s="4"/>
      <c r="B66" s="44" t="s">
        <v>60</v>
      </c>
      <c r="C66" s="77">
        <v>31.938666671982499</v>
      </c>
      <c r="D66" s="77"/>
      <c r="E66" s="71">
        <v>0</v>
      </c>
      <c r="F66" s="71">
        <v>0</v>
      </c>
      <c r="G66" s="71">
        <v>6.7354532072196296</v>
      </c>
      <c r="H66" s="71">
        <v>13.1303689652632</v>
      </c>
      <c r="I66" s="71"/>
      <c r="J66" s="71"/>
      <c r="K66" s="71"/>
      <c r="L66" s="71"/>
      <c r="M66" s="58"/>
      <c r="N66" s="71"/>
      <c r="O66" s="71"/>
      <c r="P66" s="71"/>
      <c r="Q66" s="58"/>
      <c r="R66" s="7" t="s">
        <v>5</v>
      </c>
    </row>
    <row r="67" spans="1:18" ht="5.0999999999999996" customHeight="1">
      <c r="A67" s="4"/>
      <c r="B67" s="48"/>
      <c r="C67" s="78"/>
      <c r="D67" s="78"/>
      <c r="E67" s="79"/>
      <c r="F67" s="79"/>
      <c r="G67" s="79"/>
      <c r="H67" s="79"/>
      <c r="I67" s="79"/>
      <c r="J67" s="79"/>
      <c r="K67" s="79"/>
      <c r="L67" s="79"/>
      <c r="M67" s="80"/>
      <c r="N67" s="79"/>
      <c r="O67" s="79"/>
      <c r="P67" s="79"/>
      <c r="Q67" s="80"/>
      <c r="R67" s="7"/>
    </row>
    <row r="68" spans="1:18" ht="5.0999999999999996" customHeight="1">
      <c r="A68" s="4"/>
      <c r="B68" s="41" t="s">
        <v>50</v>
      </c>
      <c r="C68" s="81"/>
      <c r="D68" s="81"/>
      <c r="E68" s="82"/>
      <c r="F68" s="82"/>
      <c r="G68" s="82"/>
      <c r="H68" s="82"/>
      <c r="I68" s="82"/>
      <c r="J68" s="82"/>
      <c r="K68" s="82"/>
      <c r="L68" s="82"/>
      <c r="M68" s="83"/>
      <c r="N68" s="82"/>
      <c r="O68" s="82"/>
      <c r="P68" s="82"/>
      <c r="Q68" s="83"/>
      <c r="R68" s="7" t="s">
        <v>5</v>
      </c>
    </row>
    <row r="69" spans="1:18" ht="9.9499999999999993" customHeight="1">
      <c r="A69" s="4"/>
      <c r="B69" s="44" t="s">
        <v>17</v>
      </c>
      <c r="C69" s="88">
        <v>-54</v>
      </c>
      <c r="D69" s="88"/>
      <c r="E69" s="89"/>
      <c r="F69" s="89"/>
      <c r="G69" s="89"/>
      <c r="H69" s="89"/>
      <c r="I69" s="89">
        <v>-71.607396455741807</v>
      </c>
      <c r="J69" s="89">
        <v>-51.584993521938202</v>
      </c>
      <c r="K69" s="89">
        <v>-27.4591423351334</v>
      </c>
      <c r="L69" s="89">
        <v>-13.6436400209219</v>
      </c>
      <c r="M69" s="89">
        <v>63.061336943789698</v>
      </c>
      <c r="N69" s="90">
        <v>-1.50939804137453</v>
      </c>
      <c r="O69" s="89">
        <v>9.5466324259651607</v>
      </c>
      <c r="P69" s="89">
        <v>23.439877890574198</v>
      </c>
      <c r="Q69" s="57">
        <v>80.987738707465297</v>
      </c>
      <c r="R69" s="7" t="s">
        <v>5</v>
      </c>
    </row>
    <row r="70" spans="1:18" ht="9.9499999999999993" customHeight="1">
      <c r="A70" s="4"/>
      <c r="B70" s="44" t="s">
        <v>61</v>
      </c>
      <c r="C70" s="88"/>
      <c r="D70" s="88"/>
      <c r="E70" s="89"/>
      <c r="F70" s="89"/>
      <c r="G70" s="89"/>
      <c r="H70" s="89"/>
      <c r="I70" s="89">
        <v>-69.219683300981799</v>
      </c>
      <c r="J70" s="89">
        <v>-48.872869692875</v>
      </c>
      <c r="K70" s="89">
        <v>-24.814224144726602</v>
      </c>
      <c r="L70" s="89"/>
      <c r="M70" s="57"/>
      <c r="N70" s="89"/>
      <c r="O70" s="89"/>
      <c r="P70" s="89"/>
      <c r="Q70" s="57"/>
      <c r="R70" s="7" t="s">
        <v>5</v>
      </c>
    </row>
    <row r="71" spans="1:18" ht="9.9499999999999993" customHeight="1">
      <c r="A71" s="4"/>
      <c r="B71" s="44" t="s">
        <v>62</v>
      </c>
      <c r="C71" s="88"/>
      <c r="D71" s="88"/>
      <c r="E71" s="89"/>
      <c r="F71" s="89"/>
      <c r="G71" s="89"/>
      <c r="H71" s="89">
        <v>-83.858873879571107</v>
      </c>
      <c r="I71" s="89">
        <v>-66.220940878710394</v>
      </c>
      <c r="J71" s="89">
        <v>-44.290678983947302</v>
      </c>
      <c r="K71" s="89"/>
      <c r="L71" s="89"/>
      <c r="M71" s="57"/>
      <c r="N71" s="89"/>
      <c r="O71" s="89"/>
      <c r="P71" s="89"/>
      <c r="Q71" s="57"/>
      <c r="R71" s="7" t="s">
        <v>5</v>
      </c>
    </row>
    <row r="72" spans="1:18" ht="9.9499999999999993" customHeight="1">
      <c r="A72" s="4"/>
      <c r="B72" s="44" t="s">
        <v>63</v>
      </c>
      <c r="C72" s="88"/>
      <c r="D72" s="88"/>
      <c r="E72" s="89"/>
      <c r="F72" s="89"/>
      <c r="G72" s="89"/>
      <c r="H72" s="89">
        <v>21.9595057261714</v>
      </c>
      <c r="I72" s="89">
        <v>18.376304506042</v>
      </c>
      <c r="J72" s="89">
        <v>14.6783115513343</v>
      </c>
      <c r="K72" s="89"/>
      <c r="L72" s="89"/>
      <c r="M72" s="57"/>
      <c r="N72" s="89"/>
      <c r="O72" s="89"/>
      <c r="P72" s="89"/>
      <c r="Q72" s="57"/>
      <c r="R72" s="7" t="s">
        <v>5</v>
      </c>
    </row>
    <row r="73" spans="1:18" ht="9.9499999999999993" customHeight="1">
      <c r="A73" s="4"/>
      <c r="B73" s="44" t="s">
        <v>64</v>
      </c>
      <c r="C73" s="88"/>
      <c r="D73" s="88"/>
      <c r="E73" s="89"/>
      <c r="F73" s="89"/>
      <c r="G73" s="89"/>
      <c r="H73" s="89">
        <v>30.268086876807899</v>
      </c>
      <c r="I73" s="89">
        <v>35.017923052548198</v>
      </c>
      <c r="J73" s="89">
        <v>41.9268106633467</v>
      </c>
      <c r="K73" s="89">
        <v>47.549388592250097</v>
      </c>
      <c r="L73" s="89">
        <v>50.683634658930501</v>
      </c>
      <c r="M73" s="57"/>
      <c r="N73" s="89"/>
      <c r="O73" s="89"/>
      <c r="P73" s="89"/>
      <c r="Q73" s="57"/>
      <c r="R73" s="7" t="s">
        <v>5</v>
      </c>
    </row>
    <row r="74" spans="1:18" ht="9.9499999999999993" customHeight="1">
      <c r="A74" s="4"/>
      <c r="B74" s="44" t="s">
        <v>65</v>
      </c>
      <c r="C74" s="61"/>
      <c r="D74" s="61"/>
      <c r="E74" s="91"/>
      <c r="F74" s="91"/>
      <c r="G74" s="91"/>
      <c r="H74" s="71">
        <v>0.11864799437266201</v>
      </c>
      <c r="I74" s="71">
        <v>2.5806909441641599</v>
      </c>
      <c r="J74" s="71">
        <v>6.9430469337840401</v>
      </c>
      <c r="K74" s="71">
        <v>11.135534860755699</v>
      </c>
      <c r="L74" s="71"/>
      <c r="M74" s="58"/>
      <c r="N74" s="91"/>
      <c r="O74" s="91"/>
      <c r="P74" s="91"/>
      <c r="Q74" s="92"/>
      <c r="R74" s="7" t="s">
        <v>5</v>
      </c>
    </row>
    <row r="75" spans="1:18" ht="9.9499999999999993" customHeight="1">
      <c r="A75" s="4"/>
      <c r="B75" s="44" t="s">
        <v>66</v>
      </c>
      <c r="C75" s="77"/>
      <c r="D75" s="77"/>
      <c r="E75" s="71"/>
      <c r="F75" s="71"/>
      <c r="G75" s="71">
        <v>51.232381773184002</v>
      </c>
      <c r="H75" s="71">
        <v>52.9571108321474</v>
      </c>
      <c r="I75" s="71">
        <v>57.147372279577503</v>
      </c>
      <c r="J75" s="71">
        <v>61.319021478985597</v>
      </c>
      <c r="K75" s="71">
        <v>65.934569586458096</v>
      </c>
      <c r="L75" s="71">
        <v>69.636004234737896</v>
      </c>
      <c r="M75" s="58"/>
      <c r="N75" s="72">
        <v>75.770573086437693</v>
      </c>
      <c r="O75" s="71">
        <v>82.525736687249804</v>
      </c>
      <c r="P75" s="71">
        <v>86.187963375711107</v>
      </c>
      <c r="Q75" s="58"/>
      <c r="R75" s="7" t="s">
        <v>5</v>
      </c>
    </row>
    <row r="76" spans="1:18" ht="9.9499999999999993" customHeight="1">
      <c r="A76" s="4"/>
      <c r="B76" s="44" t="s">
        <v>67</v>
      </c>
      <c r="C76" s="77"/>
      <c r="D76" s="77"/>
      <c r="E76" s="71">
        <v>16.4608094124773</v>
      </c>
      <c r="F76" s="71">
        <v>14.8696558276575</v>
      </c>
      <c r="G76" s="71">
        <v>14.186226041999699</v>
      </c>
      <c r="H76" s="71">
        <v>13.5976888738585</v>
      </c>
      <c r="I76" s="71">
        <v>13.0760471636923</v>
      </c>
      <c r="J76" s="71">
        <v>12.6186234543955</v>
      </c>
      <c r="K76" s="71">
        <v>12.189447907033401</v>
      </c>
      <c r="L76" s="71">
        <v>11.894019744685099</v>
      </c>
      <c r="M76" s="71"/>
      <c r="N76" s="72">
        <v>11.5084943771441</v>
      </c>
      <c r="O76" s="71">
        <v>11.123330250270801</v>
      </c>
      <c r="P76" s="71">
        <v>10.926493761890301</v>
      </c>
      <c r="Q76" s="58"/>
      <c r="R76" s="7" t="s">
        <v>5</v>
      </c>
    </row>
    <row r="77" spans="1:18" ht="9.9499999999999993" customHeight="1">
      <c r="A77" s="4"/>
      <c r="B77" s="44" t="s">
        <v>68</v>
      </c>
      <c r="C77" s="77">
        <v>0.95153769252203402</v>
      </c>
      <c r="D77" s="77"/>
      <c r="E77" s="71"/>
      <c r="F77" s="71"/>
      <c r="G77" s="71"/>
      <c r="H77" s="71"/>
      <c r="I77" s="71"/>
      <c r="J77" s="71"/>
      <c r="K77" s="71"/>
      <c r="L77" s="71"/>
      <c r="M77" s="71">
        <v>1.47753580188394</v>
      </c>
      <c r="N77" s="72">
        <v>1.0311482358541899</v>
      </c>
      <c r="O77" s="71">
        <v>1.4828031651455</v>
      </c>
      <c r="P77" s="71">
        <v>1.5582659235809899</v>
      </c>
      <c r="Q77" s="58">
        <v>1.7447181597185499</v>
      </c>
      <c r="R77" s="7" t="s">
        <v>5</v>
      </c>
    </row>
    <row r="78" spans="1:18" ht="5.0999999999999996" customHeight="1">
      <c r="A78" s="4"/>
      <c r="B78" s="48"/>
      <c r="C78" s="78"/>
      <c r="D78" s="78"/>
      <c r="E78" s="79"/>
      <c r="F78" s="79"/>
      <c r="G78" s="79"/>
      <c r="H78" s="79"/>
      <c r="I78" s="79"/>
      <c r="J78" s="79"/>
      <c r="K78" s="79"/>
      <c r="L78" s="79"/>
      <c r="M78" s="80"/>
      <c r="N78" s="79"/>
      <c r="O78" s="79"/>
      <c r="P78" s="79"/>
      <c r="Q78" s="80"/>
      <c r="R78" s="7"/>
    </row>
    <row r="79" spans="1:18" ht="5.0999999999999996" customHeight="1">
      <c r="A79" s="4"/>
      <c r="B79" s="41" t="s">
        <v>50</v>
      </c>
      <c r="C79" s="81"/>
      <c r="D79" s="81"/>
      <c r="E79" s="82"/>
      <c r="F79" s="82"/>
      <c r="G79" s="82"/>
      <c r="H79" s="82"/>
      <c r="I79" s="82"/>
      <c r="J79" s="82"/>
      <c r="K79" s="82"/>
      <c r="L79" s="82"/>
      <c r="M79" s="83"/>
      <c r="N79" s="82"/>
      <c r="O79" s="82"/>
      <c r="P79" s="82"/>
      <c r="Q79" s="83"/>
      <c r="R79" s="7" t="s">
        <v>5</v>
      </c>
    </row>
    <row r="80" spans="1:18" ht="9.9499999999999993" customHeight="1">
      <c r="A80" s="4"/>
      <c r="B80" s="44" t="s">
        <v>88</v>
      </c>
      <c r="C80" s="77">
        <v>0.54418757544098295</v>
      </c>
      <c r="D80" s="77"/>
      <c r="E80" s="71"/>
      <c r="F80" s="71"/>
      <c r="G80" s="71"/>
      <c r="H80" s="71"/>
      <c r="I80" s="71"/>
      <c r="J80" s="71"/>
      <c r="K80" s="71"/>
      <c r="L80" s="71"/>
      <c r="M80" s="71">
        <v>0.91407089834652999</v>
      </c>
      <c r="N80" s="72"/>
      <c r="O80" s="71">
        <v>0</v>
      </c>
      <c r="P80" s="71">
        <v>1.12303125969256E-2</v>
      </c>
      <c r="Q80" s="58">
        <v>2.1509174009865601</v>
      </c>
      <c r="R80" s="7" t="s">
        <v>5</v>
      </c>
    </row>
    <row r="81" spans="1:20" ht="9.9499999999999993" customHeight="1">
      <c r="A81" s="4"/>
      <c r="B81" s="44" t="s">
        <v>69</v>
      </c>
      <c r="C81" s="77">
        <v>4.5995988007742996</v>
      </c>
      <c r="D81" s="77"/>
      <c r="E81" s="71"/>
      <c r="F81" s="71"/>
      <c r="G81" s="71"/>
      <c r="H81" s="71"/>
      <c r="I81" s="71"/>
      <c r="J81" s="71"/>
      <c r="K81" s="71"/>
      <c r="L81" s="71"/>
      <c r="M81" s="71">
        <v>7.72593788906405</v>
      </c>
      <c r="N81" s="72"/>
      <c r="O81" s="71">
        <v>0.14886977493525499</v>
      </c>
      <c r="P81" s="71">
        <v>1.33605945891129</v>
      </c>
      <c r="Q81" s="58">
        <v>17.729508999693</v>
      </c>
      <c r="R81" s="7" t="s">
        <v>5</v>
      </c>
    </row>
    <row r="82" spans="1:20" ht="9.9499999999999993" customHeight="1">
      <c r="A82" s="4"/>
      <c r="B82" s="44" t="s">
        <v>70</v>
      </c>
      <c r="C82" s="77">
        <v>4.0545201197844696</v>
      </c>
      <c r="D82" s="77"/>
      <c r="E82" s="71"/>
      <c r="F82" s="71"/>
      <c r="G82" s="71"/>
      <c r="H82" s="71"/>
      <c r="I82" s="71"/>
      <c r="J82" s="71"/>
      <c r="K82" s="71"/>
      <c r="L82" s="71"/>
      <c r="M82" s="71">
        <v>6.8103702023189703</v>
      </c>
      <c r="N82" s="72"/>
      <c r="O82" s="71">
        <v>0.13488533839505301</v>
      </c>
      <c r="P82" s="71">
        <v>1.1430470379165301</v>
      </c>
      <c r="Q82" s="58">
        <v>15.638087722500099</v>
      </c>
      <c r="R82" s="7" t="s">
        <v>5</v>
      </c>
    </row>
    <row r="83" spans="1:20" ht="9.9499999999999993" customHeight="1">
      <c r="A83" s="4"/>
      <c r="B83" s="44" t="s">
        <v>25</v>
      </c>
      <c r="C83" s="77">
        <v>8.7925050422490294</v>
      </c>
      <c r="D83" s="77"/>
      <c r="E83" s="71"/>
      <c r="F83" s="71"/>
      <c r="G83" s="71"/>
      <c r="H83" s="71"/>
      <c r="I83" s="71"/>
      <c r="J83" s="71"/>
      <c r="K83" s="71"/>
      <c r="L83" s="71"/>
      <c r="M83" s="71">
        <v>14.768755012777</v>
      </c>
      <c r="N83" s="72"/>
      <c r="O83" s="71">
        <v>0</v>
      </c>
      <c r="P83" s="71">
        <v>0</v>
      </c>
      <c r="Q83" s="58">
        <v>34.810252745657202</v>
      </c>
      <c r="R83" s="7" t="s">
        <v>5</v>
      </c>
    </row>
    <row r="84" spans="1:20" ht="9.9499999999999993" customHeight="1">
      <c r="A84" s="4"/>
      <c r="B84" s="44" t="s">
        <v>24</v>
      </c>
      <c r="C84" s="77">
        <v>19.938964535156401</v>
      </c>
      <c r="D84" s="77"/>
      <c r="E84" s="71"/>
      <c r="F84" s="71"/>
      <c r="G84" s="71"/>
      <c r="H84" s="71"/>
      <c r="I84" s="71"/>
      <c r="J84" s="71"/>
      <c r="K84" s="71"/>
      <c r="L84" s="71"/>
      <c r="M84" s="71">
        <v>33.491443111285399</v>
      </c>
      <c r="N84" s="72"/>
      <c r="O84" s="71">
        <v>0</v>
      </c>
      <c r="P84" s="71">
        <v>0</v>
      </c>
      <c r="Q84" s="58">
        <v>78.940005336403104</v>
      </c>
      <c r="R84" s="7" t="s">
        <v>5</v>
      </c>
    </row>
    <row r="85" spans="1:20" ht="2.25" customHeight="1">
      <c r="A85" s="4"/>
      <c r="B85" s="27"/>
      <c r="C85" s="28"/>
      <c r="D85" s="28"/>
      <c r="E85" s="29"/>
      <c r="F85" s="29"/>
      <c r="G85" s="29"/>
      <c r="H85" s="29"/>
      <c r="I85" s="29"/>
      <c r="J85" s="29"/>
      <c r="K85" s="29"/>
      <c r="L85" s="29"/>
      <c r="M85" s="30"/>
      <c r="N85" s="29"/>
      <c r="O85" s="29"/>
      <c r="P85" s="29"/>
      <c r="Q85" s="30"/>
      <c r="R85" s="32"/>
    </row>
    <row r="86" spans="1:20" ht="3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4"/>
    </row>
    <row r="87" spans="1:20" ht="9.75" customHeight="1">
      <c r="B87" s="37" t="s">
        <v>83</v>
      </c>
    </row>
    <row r="88" spans="1:20" ht="10.5" customHeight="1">
      <c r="B88" s="100" t="s">
        <v>89</v>
      </c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</row>
    <row r="89" spans="1:20" ht="9" customHeight="1"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11">
    <mergeCell ref="B88:R89"/>
    <mergeCell ref="W9:AA9"/>
    <mergeCell ref="W10:AA10"/>
    <mergeCell ref="C15:G15"/>
    <mergeCell ref="C16:G16"/>
    <mergeCell ref="N32:Q32"/>
    <mergeCell ref="C19:E19"/>
    <mergeCell ref="C20:E20"/>
    <mergeCell ref="C21:E21"/>
    <mergeCell ref="C22:G28"/>
    <mergeCell ref="E32:M3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6"/>
      <c r="Q2" s="7"/>
    </row>
    <row r="3" spans="1:17">
      <c r="A3" s="4"/>
      <c r="Q3" s="7"/>
    </row>
    <row r="4" spans="1:17" ht="7.5" customHeight="1">
      <c r="A4" s="4"/>
      <c r="Q4" s="7"/>
    </row>
    <row r="5" spans="1:17">
      <c r="A5" s="4"/>
      <c r="D5" s="8" t="s">
        <v>0</v>
      </c>
      <c r="E5" s="9" t="s">
        <v>91</v>
      </c>
      <c r="Q5" s="7"/>
    </row>
    <row r="6" spans="1:17">
      <c r="A6" s="4"/>
      <c r="D6" s="8" t="s">
        <v>1</v>
      </c>
      <c r="E6" s="9" t="s">
        <v>90</v>
      </c>
      <c r="Q6" s="7"/>
    </row>
    <row r="7" spans="1:17" ht="5.25" customHeight="1">
      <c r="A7" s="4"/>
      <c r="Q7" s="7"/>
    </row>
    <row r="8" spans="1:17" ht="5.25" customHeight="1">
      <c r="A8" s="4"/>
      <c r="Q8" s="7"/>
    </row>
    <row r="9" spans="1:17" ht="20.25">
      <c r="A9" s="4"/>
      <c r="B9" s="10" t="s">
        <v>77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7"/>
    </row>
    <row r="10" spans="1:17">
      <c r="A10" s="4"/>
      <c r="Q10" s="7"/>
    </row>
    <row r="11" spans="1:17">
      <c r="A11" s="4"/>
      <c r="Q11" s="7"/>
    </row>
    <row r="12" spans="1:17">
      <c r="A12" s="4"/>
      <c r="Q12" s="7"/>
    </row>
    <row r="13" spans="1:17">
      <c r="A13" s="4"/>
      <c r="Q13" s="7"/>
    </row>
    <row r="14" spans="1:17">
      <c r="A14" s="4"/>
      <c r="Q14" s="7"/>
    </row>
    <row r="15" spans="1:17">
      <c r="A15" s="4"/>
      <c r="Q15" s="7"/>
    </row>
    <row r="16" spans="1:17">
      <c r="A16" s="4"/>
      <c r="Q16" s="7"/>
    </row>
    <row r="17" spans="1:17">
      <c r="A17" s="4"/>
      <c r="Q17" s="7"/>
    </row>
    <row r="18" spans="1:17">
      <c r="A18" s="4"/>
      <c r="Q18" s="7"/>
    </row>
    <row r="19" spans="1:17">
      <c r="A19" s="4"/>
      <c r="Q19" s="7"/>
    </row>
    <row r="20" spans="1:17">
      <c r="A20" s="4"/>
      <c r="Q20" s="7"/>
    </row>
    <row r="21" spans="1:17">
      <c r="A21" s="4"/>
      <c r="Q21" s="7"/>
    </row>
    <row r="22" spans="1:17">
      <c r="A22" s="4"/>
      <c r="Q22" s="7"/>
    </row>
    <row r="23" spans="1:17">
      <c r="A23" s="4"/>
      <c r="Q23" s="7"/>
    </row>
    <row r="24" spans="1:17">
      <c r="A24" s="4"/>
      <c r="Q24" s="7"/>
    </row>
    <row r="25" spans="1:17">
      <c r="A25" s="4"/>
      <c r="Q25" s="7"/>
    </row>
    <row r="26" spans="1:17">
      <c r="A26" s="4"/>
      <c r="Q26" s="7"/>
    </row>
    <row r="27" spans="1:17">
      <c r="A27" s="4"/>
      <c r="Q27" s="7"/>
    </row>
    <row r="28" spans="1:17">
      <c r="A28" s="4"/>
      <c r="Q28" s="7"/>
    </row>
    <row r="29" spans="1:17">
      <c r="A29" s="4"/>
      <c r="Q29" s="7"/>
    </row>
    <row r="30" spans="1:17">
      <c r="A30" s="4"/>
      <c r="Q30" s="7"/>
    </row>
    <row r="31" spans="1:17">
      <c r="A31" s="4"/>
      <c r="Q31" s="7"/>
    </row>
    <row r="32" spans="1:17">
      <c r="A32" s="4"/>
      <c r="Q32" s="7"/>
    </row>
    <row r="33" spans="1:17">
      <c r="A33" s="4"/>
      <c r="Q33" s="7"/>
    </row>
    <row r="34" spans="1:17">
      <c r="A34" s="4"/>
      <c r="Q34" s="7"/>
    </row>
    <row r="35" spans="1:17">
      <c r="A35" s="4"/>
      <c r="Q35" s="7"/>
    </row>
    <row r="36" spans="1:17">
      <c r="A36" s="4"/>
      <c r="Q36" s="7"/>
    </row>
    <row r="37" spans="1:17">
      <c r="A37" s="4"/>
      <c r="Q37" s="7"/>
    </row>
    <row r="38" spans="1:17">
      <c r="A38" s="4"/>
      <c r="Q38" s="7"/>
    </row>
    <row r="39" spans="1:17">
      <c r="A39" s="4"/>
      <c r="Q39" s="7"/>
    </row>
    <row r="40" spans="1:17">
      <c r="A40" s="4"/>
      <c r="Q40" s="7"/>
    </row>
    <row r="41" spans="1:17">
      <c r="A41" s="4"/>
      <c r="Q41" s="7"/>
    </row>
    <row r="42" spans="1:17">
      <c r="A42" s="4"/>
      <c r="Q42" s="7"/>
    </row>
    <row r="43" spans="1:17">
      <c r="A43" s="4"/>
      <c r="Q43" s="7"/>
    </row>
    <row r="44" spans="1:17">
      <c r="A44" s="4"/>
      <c r="Q44" s="7"/>
    </row>
    <row r="45" spans="1:17">
      <c r="A45" s="4"/>
      <c r="Q45" s="7"/>
    </row>
    <row r="46" spans="1:17">
      <c r="A46" s="4"/>
      <c r="Q46" s="7"/>
    </row>
    <row r="47" spans="1:17">
      <c r="A47" s="4"/>
      <c r="Q47" s="7"/>
    </row>
    <row r="48" spans="1:17">
      <c r="A48" s="4"/>
      <c r="Q48" s="7"/>
    </row>
    <row r="49" spans="1:23">
      <c r="A49" s="4"/>
      <c r="Q49" s="7"/>
    </row>
    <row r="50" spans="1:23">
      <c r="A50" s="4"/>
      <c r="Q50" s="7"/>
    </row>
    <row r="51" spans="1:23">
      <c r="A51" s="4"/>
      <c r="Q51" s="7"/>
    </row>
    <row r="52" spans="1:23">
      <c r="A52" s="4"/>
      <c r="B52" s="5" t="s">
        <v>50</v>
      </c>
      <c r="Q52" s="7"/>
    </row>
    <row r="53" spans="1:23">
      <c r="A53" s="4"/>
      <c r="B53" s="5" t="s">
        <v>50</v>
      </c>
      <c r="Q53" s="7"/>
      <c r="T53" s="17"/>
      <c r="U53" s="18"/>
      <c r="V53" s="16"/>
    </row>
    <row r="54" spans="1:23">
      <c r="A54" s="4"/>
      <c r="B54" s="5" t="s">
        <v>50</v>
      </c>
      <c r="Q54" s="7"/>
      <c r="S54" t="str">
        <f>TRIM(B54)</f>
        <v/>
      </c>
      <c r="T54" s="17"/>
      <c r="U54" s="18"/>
      <c r="V54" s="16"/>
      <c r="W54" s="15"/>
    </row>
    <row r="55" spans="1:23">
      <c r="A55" s="4"/>
      <c r="B55" s="5" t="s">
        <v>50</v>
      </c>
      <c r="Q55" s="7"/>
      <c r="S55" t="str">
        <f>TRIM(B55)</f>
        <v/>
      </c>
      <c r="T55" s="17"/>
      <c r="U55" s="18"/>
      <c r="V55" s="16"/>
    </row>
    <row r="56" spans="1:23">
      <c r="A56" s="4"/>
      <c r="B56" s="5" t="s">
        <v>50</v>
      </c>
      <c r="Q56" s="7"/>
      <c r="S56" t="str">
        <f>TRIM(B56)</f>
        <v/>
      </c>
      <c r="T56" s="17"/>
      <c r="U56" s="18"/>
      <c r="V56" s="16"/>
    </row>
    <row r="57" spans="1:23">
      <c r="A57" s="12"/>
      <c r="B57" s="13" t="s">
        <v>50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4"/>
      <c r="S57" t="str">
        <f>TRIM(B57)</f>
        <v/>
      </c>
      <c r="T57" s="17"/>
      <c r="U57" s="18"/>
      <c r="V57" s="16"/>
    </row>
    <row r="58" spans="1:23">
      <c r="B58" s="19" t="s">
        <v>50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S58" t="str">
        <f>TRIM(B58)</f>
        <v/>
      </c>
      <c r="T58" s="17"/>
      <c r="U58" s="18"/>
      <c r="V58" s="16"/>
    </row>
    <row r="59" spans="1:23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T59" s="17"/>
      <c r="U59" s="18"/>
      <c r="V59" s="16"/>
    </row>
    <row r="60" spans="1:23" s="22" customFormat="1">
      <c r="B60" s="23" t="s">
        <v>76</v>
      </c>
      <c r="C60" s="23" t="s">
        <v>79</v>
      </c>
      <c r="D60" s="22" t="s">
        <v>78</v>
      </c>
      <c r="T60" s="24"/>
      <c r="U60" s="25"/>
      <c r="V60" s="26"/>
    </row>
    <row r="61" spans="1:23" s="22" customFormat="1">
      <c r="B61" s="24">
        <v>-50</v>
      </c>
      <c r="C61" s="22">
        <v>2.0432355398436599E-2</v>
      </c>
      <c r="D61" s="22">
        <v>6.1992783073976099E-2</v>
      </c>
      <c r="T61" s="24"/>
      <c r="U61" s="25"/>
      <c r="V61" s="26"/>
    </row>
    <row r="62" spans="1:23" s="22" customFormat="1">
      <c r="B62" s="24">
        <v>-45</v>
      </c>
      <c r="C62" s="22">
        <v>2.0432355398436599E-2</v>
      </c>
      <c r="D62" s="22">
        <v>6.1992783073976099E-2</v>
      </c>
      <c r="T62" s="24"/>
      <c r="U62" s="25"/>
      <c r="V62" s="26"/>
    </row>
    <row r="63" spans="1:23" s="22" customFormat="1">
      <c r="B63" s="24">
        <v>-40</v>
      </c>
      <c r="C63" s="22">
        <v>5.0489869765025397E-2</v>
      </c>
      <c r="D63" s="22">
        <v>0.116060132189412</v>
      </c>
      <c r="T63" s="24"/>
      <c r="U63" s="25"/>
      <c r="V63" s="26"/>
    </row>
    <row r="64" spans="1:23" s="22" customFormat="1">
      <c r="B64" s="24">
        <v>-35</v>
      </c>
      <c r="C64" s="22">
        <v>5.0489869765025397E-2</v>
      </c>
      <c r="D64" s="22">
        <v>0.116060132189412</v>
      </c>
      <c r="T64" s="24"/>
      <c r="U64" s="25"/>
      <c r="V64" s="26"/>
    </row>
    <row r="65" spans="2:22" s="22" customFormat="1">
      <c r="B65" s="24">
        <v>-30</v>
      </c>
      <c r="C65" s="22">
        <v>5.0489869765025397E-2</v>
      </c>
      <c r="D65" s="22">
        <v>0.116060132189412</v>
      </c>
      <c r="T65" s="24"/>
      <c r="U65" s="25"/>
      <c r="V65" s="26"/>
    </row>
    <row r="66" spans="2:22" s="22" customFormat="1">
      <c r="B66" s="24">
        <v>-25</v>
      </c>
      <c r="C66" s="22">
        <v>5.0489869765025397E-2</v>
      </c>
      <c r="D66" s="22">
        <v>0.116060132189412</v>
      </c>
      <c r="T66" s="24"/>
      <c r="U66" s="25"/>
      <c r="V66" s="26"/>
    </row>
    <row r="67" spans="2:22" s="22" customFormat="1">
      <c r="B67" s="24">
        <v>-20</v>
      </c>
      <c r="C67" s="22">
        <v>5.0489869765025397E-2</v>
      </c>
      <c r="D67" s="22">
        <v>0.116060132189412</v>
      </c>
      <c r="T67" s="24"/>
      <c r="U67" s="25"/>
      <c r="V67" s="26"/>
    </row>
    <row r="68" spans="2:22" s="22" customFormat="1">
      <c r="B68" s="24">
        <v>-15</v>
      </c>
      <c r="C68" s="22">
        <v>5.0489869765025397E-2</v>
      </c>
      <c r="D68" s="22">
        <v>0.116060132189412</v>
      </c>
      <c r="T68" s="24"/>
      <c r="U68" s="25"/>
      <c r="V68" s="26"/>
    </row>
    <row r="69" spans="2:22" s="22" customFormat="1">
      <c r="B69" s="24">
        <v>-10</v>
      </c>
      <c r="C69" s="22">
        <v>8.0524484147065506E-2</v>
      </c>
      <c r="D69" s="22">
        <v>0.16474409658424899</v>
      </c>
      <c r="T69" s="24"/>
      <c r="U69" s="25"/>
      <c r="V69" s="26"/>
    </row>
    <row r="70" spans="2:22" s="22" customFormat="1">
      <c r="B70" s="24">
        <v>-5</v>
      </c>
      <c r="C70" s="22">
        <v>8.0524484147065506E-2</v>
      </c>
      <c r="D70" s="22">
        <v>0.16474409658424899</v>
      </c>
      <c r="T70" s="24"/>
      <c r="U70" s="25"/>
      <c r="V70" s="26"/>
    </row>
    <row r="71" spans="2:22" s="22" customFormat="1">
      <c r="B71" s="24">
        <v>0</v>
      </c>
      <c r="C71" s="22">
        <v>0.180551459151368</v>
      </c>
      <c r="D71" s="22">
        <v>0.32094648433219503</v>
      </c>
      <c r="T71" s="24"/>
      <c r="U71" s="25"/>
      <c r="V71" s="26"/>
    </row>
    <row r="72" spans="2:22" s="22" customFormat="1">
      <c r="B72" s="24">
        <v>5</v>
      </c>
      <c r="C72" s="22">
        <v>0.180551459151368</v>
      </c>
      <c r="D72" s="22">
        <v>0.32094648433219503</v>
      </c>
      <c r="T72" s="24"/>
      <c r="U72" s="25"/>
      <c r="V72" s="26"/>
    </row>
    <row r="73" spans="2:22" s="22" customFormat="1">
      <c r="B73" s="24">
        <v>10</v>
      </c>
      <c r="C73" s="22">
        <v>0.182738136059724</v>
      </c>
      <c r="D73" s="22">
        <v>0.32429253264937802</v>
      </c>
      <c r="T73" s="24"/>
      <c r="U73" s="25"/>
      <c r="V73" s="26"/>
    </row>
    <row r="74" spans="2:22" s="22" customFormat="1">
      <c r="B74" s="24">
        <v>15</v>
      </c>
      <c r="C74" s="22">
        <v>0.182738136059724</v>
      </c>
      <c r="D74" s="22">
        <v>0.32429253264937802</v>
      </c>
      <c r="T74" s="24"/>
      <c r="U74" s="25"/>
      <c r="V74" s="26"/>
    </row>
    <row r="75" spans="2:22" s="22" customFormat="1">
      <c r="B75" s="24">
        <v>20</v>
      </c>
      <c r="C75" s="22">
        <v>0.182738136059724</v>
      </c>
      <c r="D75" s="22">
        <v>0.32429253264937802</v>
      </c>
      <c r="T75" s="24"/>
      <c r="U75" s="25"/>
      <c r="V75" s="26"/>
    </row>
    <row r="76" spans="2:22" s="22" customFormat="1">
      <c r="B76" s="24">
        <v>25</v>
      </c>
      <c r="C76" s="22">
        <v>0.182738136059724</v>
      </c>
      <c r="D76" s="22">
        <v>0.32429253264937802</v>
      </c>
      <c r="T76" s="24"/>
      <c r="U76" s="25"/>
      <c r="V76" s="26"/>
    </row>
    <row r="77" spans="2:22" s="22" customFormat="1">
      <c r="B77" s="24">
        <v>30</v>
      </c>
      <c r="C77" s="22">
        <v>0.25319666620981701</v>
      </c>
      <c r="D77" s="22">
        <v>0.427287111753063</v>
      </c>
      <c r="T77" s="24"/>
      <c r="U77" s="25"/>
      <c r="V77" s="26"/>
    </row>
    <row r="78" spans="2:22" s="22" customFormat="1">
      <c r="B78" s="24">
        <v>35</v>
      </c>
      <c r="C78" s="22">
        <v>0.25319666620981701</v>
      </c>
      <c r="D78" s="22">
        <v>0.427287111753063</v>
      </c>
      <c r="T78" s="24"/>
      <c r="U78" s="25"/>
      <c r="V78" s="26"/>
    </row>
    <row r="79" spans="2:22" s="22" customFormat="1">
      <c r="B79" s="24">
        <v>40</v>
      </c>
      <c r="C79" s="22">
        <v>0.36361546062511302</v>
      </c>
      <c r="D79" s="22">
        <v>0.58709814240242097</v>
      </c>
      <c r="T79" s="24"/>
      <c r="U79" s="25"/>
      <c r="V79" s="26"/>
    </row>
    <row r="80" spans="2:22" s="22" customFormat="1">
      <c r="B80" s="24">
        <v>45</v>
      </c>
      <c r="C80" s="22">
        <v>0.36361546062511302</v>
      </c>
      <c r="D80" s="22">
        <v>0.58709814240242097</v>
      </c>
      <c r="T80" s="24"/>
      <c r="U80" s="25"/>
      <c r="V80" s="26"/>
    </row>
    <row r="81" spans="2:22" s="22" customFormat="1">
      <c r="B81" s="24">
        <v>50</v>
      </c>
      <c r="C81" s="22">
        <v>0.39805593374278903</v>
      </c>
      <c r="D81" s="22">
        <v>0.63164503927204396</v>
      </c>
      <c r="T81" s="24"/>
      <c r="U81" s="25"/>
      <c r="V81" s="26"/>
    </row>
    <row r="82" spans="2:22" s="22" customFormat="1">
      <c r="B82" s="24">
        <v>55</v>
      </c>
      <c r="C82" s="22">
        <v>0.39805593374278903</v>
      </c>
      <c r="D82" s="22">
        <v>0.63164503927204396</v>
      </c>
      <c r="T82" s="24"/>
      <c r="U82" s="25"/>
      <c r="V82" s="26"/>
    </row>
    <row r="83" spans="2:22" s="22" customFormat="1">
      <c r="B83" s="24">
        <v>60</v>
      </c>
      <c r="C83" s="22">
        <v>0.44438581942711203</v>
      </c>
      <c r="D83" s="22">
        <v>0.69514115948181499</v>
      </c>
      <c r="T83" s="24"/>
      <c r="U83" s="25"/>
      <c r="V83" s="26"/>
    </row>
    <row r="84" spans="2:22" s="22" customFormat="1">
      <c r="B84" s="24">
        <v>65</v>
      </c>
      <c r="C84" s="22">
        <v>0.53796232016475798</v>
      </c>
      <c r="D84" s="22">
        <v>0.824172100870742</v>
      </c>
      <c r="T84" s="24"/>
      <c r="U84" s="25"/>
      <c r="V84" s="26"/>
    </row>
    <row r="85" spans="2:22" s="22" customFormat="1">
      <c r="B85" s="24">
        <v>70</v>
      </c>
      <c r="C85" s="22">
        <v>0.61448938407739995</v>
      </c>
      <c r="D85" s="22">
        <v>0.92943330777675903</v>
      </c>
      <c r="T85" s="24"/>
      <c r="U85" s="25"/>
      <c r="V85" s="26"/>
    </row>
    <row r="86" spans="2:22" s="22" customFormat="1">
      <c r="B86" s="24">
        <v>75</v>
      </c>
      <c r="C86" s="22">
        <v>0.80137711289458102</v>
      </c>
      <c r="D86" s="22">
        <v>1.1559344134812499</v>
      </c>
      <c r="T86" s="24"/>
      <c r="U86" s="25"/>
      <c r="V86" s="26"/>
    </row>
    <row r="87" spans="2:22" s="22" customFormat="1">
      <c r="B87" s="24">
        <v>80</v>
      </c>
      <c r="C87" s="22">
        <v>0.80730180856334599</v>
      </c>
      <c r="D87" s="22">
        <v>1.16391266922857</v>
      </c>
      <c r="T87" s="24"/>
      <c r="U87" s="25"/>
      <c r="V87" s="26"/>
    </row>
    <row r="88" spans="2:22" s="22" customFormat="1">
      <c r="B88" s="24">
        <v>85</v>
      </c>
      <c r="C88" s="22">
        <v>0.95428492716751201</v>
      </c>
      <c r="D88" s="22">
        <v>1.3374002116755499</v>
      </c>
      <c r="T88" s="24"/>
      <c r="U88" s="25"/>
      <c r="V88" s="26"/>
    </row>
    <row r="89" spans="2:22" s="22" customFormat="1">
      <c r="B89" s="24">
        <v>90</v>
      </c>
      <c r="C89" s="22">
        <v>1.0309010627417401</v>
      </c>
      <c r="D89" s="22">
        <v>1.4328153199978599</v>
      </c>
      <c r="T89" s="24"/>
      <c r="U89" s="25"/>
      <c r="V89" s="26"/>
    </row>
    <row r="90" spans="2:22" s="22" customFormat="1">
      <c r="B90" s="24">
        <v>95</v>
      </c>
      <c r="C90" s="22">
        <v>1.42317032638914</v>
      </c>
      <c r="D90" s="22">
        <v>1.92001760245301</v>
      </c>
      <c r="T90" s="24"/>
      <c r="U90" s="25"/>
      <c r="V90" s="26"/>
    </row>
    <row r="91" spans="2:22" s="22" customFormat="1">
      <c r="B91" s="24">
        <v>100</v>
      </c>
      <c r="C91" s="22">
        <v>1.44700459904672</v>
      </c>
      <c r="D91" s="22">
        <v>1.9512313153179299</v>
      </c>
      <c r="T91" s="24"/>
      <c r="U91" s="25"/>
      <c r="V91" s="26"/>
    </row>
    <row r="92" spans="2:22" s="22" customFormat="1">
      <c r="B92" s="24">
        <v>105</v>
      </c>
      <c r="C92" s="22">
        <v>1.84934998054553</v>
      </c>
      <c r="D92" s="22">
        <v>2.4267415472754101</v>
      </c>
      <c r="T92" s="24"/>
      <c r="U92" s="25"/>
      <c r="V92" s="26"/>
    </row>
    <row r="93" spans="2:22" s="22" customFormat="1">
      <c r="B93" s="24">
        <v>110</v>
      </c>
      <c r="C93" s="22">
        <v>1.89774111014578</v>
      </c>
      <c r="D93" s="22">
        <v>2.4874651378256298</v>
      </c>
      <c r="T93" s="24"/>
      <c r="U93" s="25"/>
      <c r="V93" s="26"/>
    </row>
    <row r="94" spans="2:22" s="22" customFormat="1">
      <c r="B94" s="24">
        <v>115</v>
      </c>
      <c r="C94" s="22">
        <v>2.0355605351773201</v>
      </c>
      <c r="D94" s="22">
        <v>2.6487783371346301</v>
      </c>
      <c r="T94" s="24"/>
      <c r="U94" s="25"/>
      <c r="V94" s="26"/>
    </row>
    <row r="95" spans="2:22" s="22" customFormat="1">
      <c r="B95" s="24">
        <v>120</v>
      </c>
      <c r="C95" s="22">
        <v>2.3097955249719502</v>
      </c>
      <c r="D95" s="22">
        <v>2.98624977957</v>
      </c>
      <c r="T95" s="24"/>
      <c r="U95" s="25"/>
      <c r="V95" s="26"/>
    </row>
    <row r="96" spans="2:22" s="22" customFormat="1">
      <c r="B96" s="24">
        <v>125</v>
      </c>
      <c r="C96" s="22">
        <v>2.5295035715640499</v>
      </c>
      <c r="D96" s="22">
        <v>3.24417513125006</v>
      </c>
      <c r="T96" s="24"/>
      <c r="U96" s="25"/>
      <c r="V96" s="26"/>
    </row>
    <row r="97" spans="2:22" s="22" customFormat="1">
      <c r="B97" s="24">
        <v>130</v>
      </c>
      <c r="C97" s="22">
        <v>2.6293859492889999</v>
      </c>
      <c r="D97" s="22">
        <v>3.3652508222333499</v>
      </c>
      <c r="T97" s="24"/>
      <c r="U97" s="25"/>
      <c r="V97" s="26"/>
    </row>
    <row r="98" spans="2:22" s="22" customFormat="1">
      <c r="B98" s="24">
        <v>135</v>
      </c>
      <c r="C98" s="22">
        <v>3.0891713310876101</v>
      </c>
      <c r="D98" s="22">
        <v>3.9085769647162301</v>
      </c>
      <c r="T98" s="24"/>
      <c r="U98" s="25"/>
      <c r="V98" s="26"/>
    </row>
    <row r="99" spans="2:22" s="22" customFormat="1">
      <c r="B99" s="24">
        <v>140</v>
      </c>
      <c r="C99" s="22">
        <v>3.7073037281229602</v>
      </c>
      <c r="D99" s="22">
        <v>4.6385168974590298</v>
      </c>
      <c r="T99" s="24"/>
      <c r="U99" s="25"/>
      <c r="V99" s="26"/>
    </row>
    <row r="100" spans="2:22" s="22" customFormat="1">
      <c r="B100" s="24">
        <v>145</v>
      </c>
      <c r="C100" s="22">
        <v>4.2383000173253498</v>
      </c>
      <c r="D100" s="22">
        <v>5.2668162486612502</v>
      </c>
      <c r="T100" s="24"/>
      <c r="U100" s="25"/>
      <c r="V100" s="26"/>
    </row>
    <row r="101" spans="2:22" s="22" customFormat="1">
      <c r="B101" s="24">
        <v>150</v>
      </c>
      <c r="C101" s="22">
        <v>4.6241523044395896</v>
      </c>
      <c r="D101" s="22">
        <v>5.7161457394244204</v>
      </c>
      <c r="T101" s="24"/>
      <c r="U101" s="25"/>
      <c r="V101" s="26"/>
    </row>
    <row r="102" spans="2:22" s="22" customFormat="1">
      <c r="B102" s="24">
        <v>160</v>
      </c>
      <c r="C102" s="22">
        <v>5.4313378943793902</v>
      </c>
      <c r="D102" s="22">
        <v>6.6475093463098602</v>
      </c>
      <c r="T102" s="24"/>
      <c r="U102" s="25"/>
      <c r="V102" s="26"/>
    </row>
    <row r="103" spans="2:22" s="22" customFormat="1">
      <c r="B103" s="24">
        <v>170</v>
      </c>
      <c r="C103" s="22">
        <v>6.2872616097325897</v>
      </c>
      <c r="D103" s="22">
        <v>7.62373357149903</v>
      </c>
      <c r="T103" s="24"/>
      <c r="U103" s="25"/>
      <c r="V103" s="26"/>
    </row>
    <row r="104" spans="2:22" s="22" customFormat="1">
      <c r="B104" s="24">
        <v>180</v>
      </c>
      <c r="C104" s="22">
        <v>7.1953692473384896</v>
      </c>
      <c r="D104" s="22">
        <v>8.6482773317111494</v>
      </c>
      <c r="T104" s="24"/>
      <c r="U104" s="25"/>
      <c r="V104" s="26"/>
    </row>
    <row r="105" spans="2:22" s="22" customFormat="1">
      <c r="B105" s="24">
        <v>190</v>
      </c>
      <c r="C105" s="22">
        <v>8.1626375840797003</v>
      </c>
      <c r="D105" s="22">
        <v>9.7284864249242595</v>
      </c>
      <c r="T105" s="24"/>
      <c r="U105" s="25"/>
      <c r="V105" s="26"/>
    </row>
    <row r="106" spans="2:22" s="22" customFormat="1">
      <c r="B106" s="24">
        <v>200</v>
      </c>
      <c r="C106" s="22">
        <v>9.2015568279252609</v>
      </c>
      <c r="D106" s="22">
        <v>10.8776445912852</v>
      </c>
      <c r="T106" s="24"/>
      <c r="U106" s="25"/>
      <c r="V106" s="26"/>
    </row>
    <row r="107" spans="2:22" s="22" customFormat="1">
      <c r="B107" s="24">
        <v>210</v>
      </c>
      <c r="C107" s="22">
        <v>10.3313877620791</v>
      </c>
      <c r="D107" s="22">
        <v>12.116279920022899</v>
      </c>
      <c r="T107" s="24"/>
      <c r="U107" s="25"/>
      <c r="V107" s="26"/>
    </row>
    <row r="108" spans="2:22" s="22" customFormat="1">
      <c r="B108" s="24">
        <v>220</v>
      </c>
      <c r="C108" s="22">
        <v>11.577042559543001</v>
      </c>
      <c r="D108" s="22">
        <v>13.471172069618801</v>
      </c>
      <c r="T108" s="24"/>
      <c r="U108" s="25"/>
      <c r="V108" s="26"/>
    </row>
    <row r="109" spans="2:22" s="22" customFormat="1">
      <c r="B109" s="24">
        <v>230</v>
      </c>
      <c r="C109" s="22">
        <v>12.965287713578199</v>
      </c>
      <c r="D109" s="22">
        <v>14.970741314904</v>
      </c>
      <c r="T109" s="24"/>
      <c r="U109" s="25"/>
      <c r="V109" s="26"/>
    </row>
    <row r="110" spans="2:22" s="22" customFormat="1">
      <c r="B110" s="24">
        <v>240</v>
      </c>
      <c r="C110" s="22">
        <v>14.5173115816517</v>
      </c>
      <c r="D110" s="22">
        <v>16.6369755494473</v>
      </c>
      <c r="T110" s="24"/>
      <c r="U110" s="25"/>
      <c r="V110" s="26"/>
    </row>
    <row r="111" spans="2:22" s="22" customFormat="1">
      <c r="B111" s="24">
        <v>250</v>
      </c>
      <c r="C111" s="22">
        <v>16.2400390790392</v>
      </c>
      <c r="D111" s="22">
        <v>18.476329075505799</v>
      </c>
      <c r="T111" s="24"/>
      <c r="U111" s="25"/>
      <c r="V111" s="26"/>
    </row>
    <row r="112" spans="2:22" s="22" customFormat="1">
      <c r="B112" s="24">
        <v>260</v>
      </c>
      <c r="C112" s="22">
        <v>18.120150400265601</v>
      </c>
      <c r="D112" s="22">
        <v>20.473652425904898</v>
      </c>
      <c r="T112" s="24"/>
      <c r="U112" s="25"/>
      <c r="V112" s="26"/>
    </row>
    <row r="113" spans="2:22" s="22" customFormat="1">
      <c r="B113" s="24">
        <v>270</v>
      </c>
      <c r="C113" s="22">
        <v>20.124228114605302</v>
      </c>
      <c r="D113" s="22">
        <v>22.592667764459001</v>
      </c>
      <c r="T113" s="24"/>
      <c r="U113" s="25"/>
      <c r="V113" s="26"/>
    </row>
    <row r="114" spans="2:22" s="22" customFormat="1">
      <c r="B114" s="24">
        <v>280</v>
      </c>
      <c r="C114" s="22">
        <v>22.2057821184994</v>
      </c>
      <c r="D114" s="22">
        <v>24.783632454283499</v>
      </c>
      <c r="T114" s="24"/>
      <c r="U114" s="25"/>
      <c r="V114" s="26"/>
    </row>
    <row r="115" spans="2:22" s="22" customFormat="1">
      <c r="B115" s="24">
        <v>290</v>
      </c>
      <c r="C115" s="22">
        <v>24.316518254935598</v>
      </c>
      <c r="D115" s="22">
        <v>26.995298143571901</v>
      </c>
      <c r="T115" s="24"/>
      <c r="U115" s="25"/>
      <c r="V115" s="26"/>
    </row>
    <row r="116" spans="2:22" s="22" customFormat="1">
      <c r="B116" s="24">
        <v>300</v>
      </c>
      <c r="C116" s="22">
        <v>26.417313527511698</v>
      </c>
      <c r="D116" s="22">
        <v>29.186358095609901</v>
      </c>
      <c r="T116" s="24"/>
      <c r="U116" s="25"/>
      <c r="V116" s="26"/>
    </row>
    <row r="117" spans="2:22" s="22" customFormat="1">
      <c r="B117" s="24">
        <v>310</v>
      </c>
      <c r="C117" s="22">
        <v>28.484939830740601</v>
      </c>
      <c r="D117" s="22">
        <v>31.332355041480199</v>
      </c>
      <c r="T117" s="24"/>
      <c r="U117" s="25"/>
      <c r="V117" s="26"/>
    </row>
    <row r="118" spans="2:22" s="22" customFormat="1">
      <c r="B118" s="24">
        <v>320</v>
      </c>
      <c r="C118" s="22">
        <v>30.512880049139401</v>
      </c>
      <c r="D118" s="22">
        <v>33.426641966745201</v>
      </c>
      <c r="T118" s="24"/>
      <c r="U118" s="25"/>
      <c r="V118" s="26"/>
    </row>
    <row r="119" spans="2:22" s="22" customFormat="1">
      <c r="B119" s="24">
        <v>330</v>
      </c>
      <c r="C119" s="22">
        <v>32.508028276179601</v>
      </c>
      <c r="D119" s="22">
        <v>35.476609018734401</v>
      </c>
      <c r="T119" s="24"/>
      <c r="U119" s="25"/>
      <c r="V119" s="26"/>
    </row>
    <row r="120" spans="2:22" s="22" customFormat="1">
      <c r="B120" s="24">
        <v>340</v>
      </c>
      <c r="C120" s="22">
        <v>34.485150433359301</v>
      </c>
      <c r="D120" s="22">
        <v>37.497680283048098</v>
      </c>
      <c r="T120" s="24"/>
      <c r="U120" s="25"/>
      <c r="V120" s="26"/>
    </row>
    <row r="121" spans="2:22" s="22" customFormat="1">
      <c r="B121" s="24">
        <v>350</v>
      </c>
      <c r="C121" s="22">
        <v>36.461252523973997</v>
      </c>
      <c r="D121" s="22">
        <v>39.507413062579403</v>
      </c>
      <c r="T121" s="24"/>
      <c r="U121" s="25"/>
      <c r="V121" s="26"/>
    </row>
    <row r="122" spans="2:22" s="22" customFormat="1">
      <c r="B122" s="24">
        <v>360</v>
      </c>
      <c r="C122" s="22">
        <v>38.451266205260602</v>
      </c>
      <c r="D122" s="22">
        <v>41.521083602205799</v>
      </c>
      <c r="T122" s="24"/>
      <c r="U122" s="25"/>
      <c r="V122" s="26"/>
    </row>
    <row r="123" spans="2:22" s="22" customFormat="1">
      <c r="B123" s="24">
        <v>370</v>
      </c>
      <c r="C123" s="22">
        <v>40.4654960107178</v>
      </c>
      <c r="D123" s="22">
        <v>43.549163528825602</v>
      </c>
      <c r="T123" s="24"/>
      <c r="U123" s="25"/>
      <c r="V123" s="26"/>
    </row>
    <row r="124" spans="2:22" s="22" customFormat="1">
      <c r="B124" s="24">
        <v>380</v>
      </c>
      <c r="C124" s="22">
        <v>42.508661293170299</v>
      </c>
      <c r="D124" s="22">
        <v>45.596459912504699</v>
      </c>
      <c r="T124" s="24"/>
      <c r="U124" s="25"/>
      <c r="V124" s="26"/>
    </row>
    <row r="125" spans="2:22" s="22" customFormat="1">
      <c r="B125" s="24">
        <v>390</v>
      </c>
      <c r="C125" s="22">
        <v>44.580100459744401</v>
      </c>
      <c r="D125" s="22">
        <v>47.662433884571101</v>
      </c>
      <c r="T125" s="24"/>
      <c r="U125" s="25"/>
      <c r="V125" s="26"/>
    </row>
    <row r="126" spans="2:22" s="22" customFormat="1">
      <c r="B126" s="24">
        <v>400</v>
      </c>
      <c r="C126" s="22">
        <v>46.6746722724939</v>
      </c>
      <c r="D126" s="22">
        <v>49.742198147583302</v>
      </c>
      <c r="T126" s="24"/>
      <c r="U126" s="25"/>
      <c r="V126" s="26"/>
    </row>
    <row r="127" spans="2:22" s="22" customFormat="1">
      <c r="B127" s="24">
        <v>410</v>
      </c>
      <c r="C127" s="22">
        <v>48.783909376740503</v>
      </c>
      <c r="D127" s="22">
        <v>51.827790497071803</v>
      </c>
      <c r="T127" s="24"/>
      <c r="U127" s="25"/>
      <c r="V127" s="26"/>
    </row>
    <row r="128" spans="2:22" s="22" customFormat="1">
      <c r="B128" s="24">
        <v>420</v>
      </c>
      <c r="C128" s="22">
        <v>50.8971258358361</v>
      </c>
      <c r="D128" s="22">
        <v>53.909445895073503</v>
      </c>
      <c r="T128" s="24"/>
      <c r="U128" s="25"/>
      <c r="V128" s="26"/>
    </row>
    <row r="129" spans="2:22" s="22" customFormat="1">
      <c r="B129" s="24">
        <v>430</v>
      </c>
      <c r="C129" s="22">
        <v>53.002832980128602</v>
      </c>
      <c r="D129" s="22">
        <v>55.9767038419483</v>
      </c>
      <c r="T129" s="24"/>
      <c r="U129" s="25"/>
      <c r="V129" s="26"/>
    </row>
    <row r="130" spans="2:22" s="22" customFormat="1">
      <c r="B130" s="24">
        <v>440</v>
      </c>
      <c r="C130" s="22">
        <v>55.089708648248603</v>
      </c>
      <c r="D130" s="22">
        <v>58.019276032359201</v>
      </c>
      <c r="T130" s="24"/>
      <c r="U130" s="25"/>
      <c r="V130" s="26"/>
    </row>
    <row r="131" spans="2:22" s="22" customFormat="1">
      <c r="B131" s="24">
        <v>450</v>
      </c>
      <c r="C131" s="22">
        <v>57.147245879702801</v>
      </c>
      <c r="D131" s="22">
        <v>60.027659582349997</v>
      </c>
      <c r="T131" s="24"/>
      <c r="U131" s="25"/>
      <c r="V131" s="26"/>
    </row>
    <row r="132" spans="2:22" s="22" customFormat="1">
      <c r="B132" s="24">
        <v>460</v>
      </c>
      <c r="C132" s="22">
        <v>59.166165675675103</v>
      </c>
      <c r="D132" s="22">
        <v>61.993517490227099</v>
      </c>
      <c r="T132" s="24"/>
      <c r="U132" s="25"/>
      <c r="V132" s="26"/>
    </row>
    <row r="133" spans="2:22" s="22" customFormat="1">
      <c r="B133" s="24">
        <v>470</v>
      </c>
      <c r="C133" s="22">
        <v>61.138629972632202</v>
      </c>
      <c r="D133" s="22">
        <v>63.909866459847201</v>
      </c>
      <c r="T133" s="24"/>
      <c r="U133" s="25"/>
      <c r="V133" s="26"/>
    </row>
    <row r="134" spans="2:22" s="22" customFormat="1">
      <c r="B134" s="24">
        <v>480</v>
      </c>
      <c r="C134" s="22">
        <v>63.058299812854401</v>
      </c>
      <c r="D134" s="22">
        <v>65.771118494380502</v>
      </c>
      <c r="T134" s="24"/>
      <c r="U134" s="25"/>
      <c r="V134" s="26"/>
    </row>
    <row r="135" spans="2:22" s="22" customFormat="1">
      <c r="B135" s="24">
        <v>490</v>
      </c>
      <c r="C135" s="22">
        <v>64.920283997065496</v>
      </c>
      <c r="D135" s="22">
        <v>67.573021252568196</v>
      </c>
      <c r="T135" s="24"/>
      <c r="U135" s="25"/>
      <c r="V135" s="26"/>
    </row>
    <row r="136" spans="2:22" s="22" customFormat="1">
      <c r="B136" s="24">
        <v>500</v>
      </c>
      <c r="C136" s="22">
        <v>66.721018591683602</v>
      </c>
      <c r="D136" s="22">
        <v>69.312536277657898</v>
      </c>
      <c r="T136" s="24"/>
      <c r="U136" s="25"/>
      <c r="V136" s="26"/>
    </row>
    <row r="137" spans="2:22" s="22" customFormat="1">
      <c r="B137" s="24">
        <v>510</v>
      </c>
      <c r="C137" s="22">
        <v>68.457971704673</v>
      </c>
      <c r="D137" s="22">
        <v>70.987686160235398</v>
      </c>
      <c r="T137" s="24"/>
      <c r="U137" s="25"/>
      <c r="V137" s="26"/>
    </row>
    <row r="138" spans="2:22" s="22" customFormat="1">
      <c r="B138" s="24">
        <v>520</v>
      </c>
      <c r="C138" s="22">
        <v>70.129110780833301</v>
      </c>
      <c r="D138" s="22">
        <v>72.597393147137296</v>
      </c>
      <c r="T138" s="24"/>
      <c r="U138" s="25"/>
      <c r="V138" s="26"/>
    </row>
    <row r="139" spans="2:22" s="22" customFormat="1">
      <c r="B139" s="24">
        <v>530</v>
      </c>
      <c r="C139" s="22">
        <v>71.733376530504202</v>
      </c>
      <c r="D139" s="22">
        <v>74.141323838497598</v>
      </c>
      <c r="T139" s="24"/>
      <c r="U139" s="25"/>
      <c r="V139" s="26"/>
    </row>
    <row r="140" spans="2:22" s="22" customFormat="1">
      <c r="B140" s="24">
        <v>540</v>
      </c>
      <c r="C140" s="22">
        <v>73.270658235983007</v>
      </c>
      <c r="D140" s="22">
        <v>75.619748152929404</v>
      </c>
      <c r="T140" s="24"/>
      <c r="U140" s="25"/>
      <c r="V140" s="26"/>
    </row>
    <row r="141" spans="2:22" s="22" customFormat="1">
      <c r="B141" s="24">
        <v>550</v>
      </c>
      <c r="C141" s="22">
        <v>74.741622514228993</v>
      </c>
      <c r="D141" s="22">
        <v>77.033415993445402</v>
      </c>
      <c r="T141" s="24"/>
      <c r="U141" s="25"/>
      <c r="V141" s="26"/>
    </row>
    <row r="142" spans="2:22" s="22" customFormat="1">
      <c r="B142" s="24">
        <v>560</v>
      </c>
      <c r="C142" s="22">
        <v>76.147560715987396</v>
      </c>
      <c r="D142" s="22">
        <v>78.383451969023199</v>
      </c>
      <c r="T142" s="24"/>
      <c r="U142" s="25"/>
      <c r="V142" s="26"/>
    </row>
    <row r="143" spans="2:22" s="22" customFormat="1">
      <c r="B143" s="24">
        <v>570</v>
      </c>
      <c r="C143" s="22">
        <v>77.490255155927102</v>
      </c>
      <c r="D143" s="22">
        <v>79.671266838069997</v>
      </c>
      <c r="T143" s="24"/>
      <c r="U143" s="25"/>
      <c r="V143" s="26"/>
    </row>
    <row r="144" spans="2:22" s="22" customFormat="1">
      <c r="B144" s="24">
        <v>580</v>
      </c>
      <c r="C144" s="22">
        <v>78.771863087452502</v>
      </c>
      <c r="D144" s="22">
        <v>80.898483653496001</v>
      </c>
      <c r="T144" s="24"/>
      <c r="U144" s="25"/>
      <c r="V144" s="26"/>
    </row>
    <row r="145" spans="2:22" s="22" customFormat="1">
      <c r="B145" s="24">
        <v>590</v>
      </c>
      <c r="C145" s="22">
        <v>79.994816836079707</v>
      </c>
      <c r="D145" s="22">
        <v>82.066876520394104</v>
      </c>
      <c r="T145" s="24"/>
      <c r="U145" s="25"/>
      <c r="V145" s="26"/>
    </row>
    <row r="146" spans="2:22" s="22" customFormat="1">
      <c r="B146" s="24">
        <v>600</v>
      </c>
      <c r="C146" s="22">
        <v>81.161738436437403</v>
      </c>
      <c r="D146" s="22">
        <v>83.178320113722293</v>
      </c>
      <c r="T146" s="24"/>
      <c r="U146" s="25"/>
      <c r="V146" s="26"/>
    </row>
    <row r="147" spans="2:22" s="22" customFormat="1">
      <c r="B147" s="24">
        <v>610</v>
      </c>
      <c r="C147" s="22">
        <v>82.275206750948399</v>
      </c>
      <c r="D147" s="22">
        <v>84.234748430660403</v>
      </c>
      <c r="T147" s="24"/>
      <c r="U147" s="25"/>
      <c r="V147" s="26"/>
    </row>
    <row r="148" spans="2:22" s="22" customFormat="1">
      <c r="B148" s="24">
        <v>620</v>
      </c>
      <c r="C148" s="22">
        <v>83.337143301196704</v>
      </c>
      <c r="D148" s="22">
        <v>85.238121549940303</v>
      </c>
      <c r="T148" s="24"/>
      <c r="U148" s="25"/>
      <c r="V148" s="26"/>
    </row>
    <row r="149" spans="2:22" s="22" customFormat="1">
      <c r="B149" s="24">
        <v>630</v>
      </c>
      <c r="C149" s="22">
        <v>84.349305580011702</v>
      </c>
      <c r="D149" s="22">
        <v>86.1903993897334</v>
      </c>
      <c r="T149" s="24"/>
      <c r="U149" s="25"/>
      <c r="V149" s="26"/>
    </row>
    <row r="150" spans="2:22" s="22" customFormat="1">
      <c r="B150" s="24">
        <v>640</v>
      </c>
      <c r="C150" s="22">
        <v>85.313426603224897</v>
      </c>
      <c r="D150" s="22">
        <v>87.093521593251097</v>
      </c>
      <c r="T150" s="24"/>
      <c r="U150" s="25"/>
      <c r="V150" s="26"/>
    </row>
    <row r="151" spans="2:22" s="22" customFormat="1">
      <c r="B151" s="24">
        <v>650</v>
      </c>
      <c r="C151" s="22">
        <v>86.231201861757398</v>
      </c>
      <c r="D151" s="22">
        <v>87.949392746155993</v>
      </c>
      <c r="T151" s="24"/>
      <c r="U151" s="25"/>
      <c r="V151" s="26"/>
    </row>
    <row r="152" spans="2:22" s="22" customFormat="1">
      <c r="B152" s="24">
        <v>660</v>
      </c>
      <c r="C152" s="22">
        <v>87.104280659460201</v>
      </c>
      <c r="D152" s="22">
        <v>88.759872167591297</v>
      </c>
      <c r="T152" s="24"/>
      <c r="U152" s="25"/>
      <c r="V152" s="26"/>
    </row>
    <row r="153" spans="2:22" s="22" customFormat="1">
      <c r="B153" s="24">
        <v>670</v>
      </c>
      <c r="C153" s="22">
        <v>87.934261156837493</v>
      </c>
      <c r="D153" s="22">
        <v>89.526767539798101</v>
      </c>
      <c r="T153" s="24"/>
      <c r="U153" s="25"/>
      <c r="V153" s="26"/>
    </row>
    <row r="154" spans="2:22" s="22" customFormat="1">
      <c r="B154" s="24">
        <v>680</v>
      </c>
      <c r="C154" s="22">
        <v>88.722688455552799</v>
      </c>
      <c r="D154" s="22">
        <v>90.251831666006595</v>
      </c>
      <c r="T154" s="24"/>
      <c r="U154" s="25"/>
      <c r="V154" s="26"/>
    </row>
    <row r="155" spans="2:22" s="22" customFormat="1">
      <c r="B155" s="24">
        <v>690</v>
      </c>
      <c r="C155" s="22">
        <v>89.471055082074898</v>
      </c>
      <c r="D155" s="22">
        <v>90.936761681696595</v>
      </c>
      <c r="T155" s="24"/>
      <c r="U155" s="25"/>
      <c r="V155" s="26"/>
    </row>
    <row r="156" spans="2:22" s="22" customFormat="1">
      <c r="B156" s="24">
        <v>700</v>
      </c>
      <c r="C156" s="22">
        <v>90.180803265710196</v>
      </c>
      <c r="D156" s="22">
        <v>91.583200093784896</v>
      </c>
      <c r="T156" s="24"/>
      <c r="U156" s="25"/>
      <c r="V156" s="26"/>
    </row>
    <row r="157" spans="2:22">
      <c r="B157" s="21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T157" s="17"/>
      <c r="U157" s="18"/>
      <c r="V157" s="16"/>
    </row>
    <row r="158" spans="2:22">
      <c r="B158" s="21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T158" s="17"/>
      <c r="U158" s="18"/>
      <c r="V158" s="16"/>
    </row>
    <row r="159" spans="2:22">
      <c r="B159" s="21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T159" s="17"/>
      <c r="U159" s="18"/>
      <c r="V159" s="16"/>
    </row>
    <row r="160" spans="2:22">
      <c r="B160" s="21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T160" s="17"/>
      <c r="U160" s="18"/>
      <c r="V160" s="16"/>
    </row>
    <row r="161" spans="2:22">
      <c r="B161" s="21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T161" s="17"/>
      <c r="U161" s="18"/>
      <c r="V161" s="16"/>
    </row>
    <row r="162" spans="2:22">
      <c r="B162" s="21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T162" s="17"/>
      <c r="U162" s="18"/>
      <c r="V162" s="16"/>
    </row>
    <row r="163" spans="2:22">
      <c r="B163" s="21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T163" s="17"/>
      <c r="U163" s="18"/>
      <c r="V163" s="16"/>
    </row>
    <row r="164" spans="2:22">
      <c r="B164" s="21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</row>
    <row r="165" spans="2:22">
      <c r="B165" s="21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</row>
    <row r="166" spans="2:22">
      <c r="B166" s="21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</row>
    <row r="167" spans="2:22">
      <c r="B167" s="21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</row>
    <row r="168" spans="2:22">
      <c r="B168" s="21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</row>
    <row r="169" spans="2:22">
      <c r="B169" s="21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</row>
    <row r="170" spans="2:22">
      <c r="B170" s="21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</row>
    <row r="171" spans="2:22">
      <c r="B171" s="21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</row>
    <row r="172" spans="2:2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</row>
    <row r="173" spans="2:22"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</row>
    <row r="174" spans="2:2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</row>
    <row r="175" spans="2:22"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</row>
    <row r="176" spans="2:22"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</row>
    <row r="177" spans="2:17"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</row>
    <row r="178" spans="2:17"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</row>
    <row r="179" spans="2:17"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Oliver Sale Haugberg</cp:lastModifiedBy>
  <cp:lastPrinted>2017-11-17T09:36:26Z</cp:lastPrinted>
  <dcterms:created xsi:type="dcterms:W3CDTF">2007-09-13T12:34:08Z</dcterms:created>
  <dcterms:modified xsi:type="dcterms:W3CDTF">2021-01-08T11:24:51Z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